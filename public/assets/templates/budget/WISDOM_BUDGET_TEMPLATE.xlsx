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_(* #,##0.0_);_(* \(#,##0.0\);_(* &quot;-&quot;??_);_(@_)"/>
    <numFmt numFmtId="166" formatCode="_(* #,##0_);_(* \(#,##0\);_(* &quot;-&quot;??_);_(@_)"/>
    <numFmt numFmtId="167" formatCode="#,##0;[Red]\(#,##0\);\-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color indexed="8"/>
      <sz val="11"/>
    </font>
    <font>
      <name val="Tahoma"/>
      <charset val="134"/>
      <color indexed="8"/>
      <sz val="12"/>
    </font>
    <font>
      <name val="Tahoma"/>
      <charset val="134"/>
      <color indexed="8"/>
      <sz val="11"/>
    </font>
    <font>
      <name val="Tahoma"/>
      <charset val="134"/>
      <b val="1"/>
      <color indexed="8"/>
      <sz val="11"/>
    </font>
    <font>
      <name val="Calibri"/>
      <charset val="134"/>
      <b val="1"/>
      <color indexed="8"/>
      <sz val="11"/>
    </font>
    <font>
      <name val="Tahoma"/>
      <charset val="134"/>
      <b val="1"/>
      <color indexed="8"/>
      <sz val="14"/>
    </font>
    <font>
      <name val="Tahoma"/>
      <charset val="134"/>
      <b val="1"/>
      <color indexed="8"/>
      <sz val="12"/>
    </font>
    <font>
      <name val="Calibri"/>
      <family val="2"/>
      <color indexed="8"/>
      <sz val="11"/>
    </font>
    <font>
      <name val="Algerian"/>
      <family val="5"/>
      <b val="1"/>
      <color indexed="8"/>
      <sz val="16"/>
    </font>
    <font>
      <name val="Calibri"/>
      <color rgb="FF0000FF"/>
      <sz val="11"/>
    </font>
    <font>
      <name val="Calibri"/>
      <b val="1"/>
      <color rgb="FF17365D"/>
      <sz val="11"/>
    </font>
  </fonts>
  <fills count="3">
    <fill>
      <patternFill/>
    </fill>
    <fill>
      <patternFill patternType="gray125"/>
    </fill>
    <fill>
      <patternFill patternType="solid">
        <fgColor rgb="FFDCEE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164" fontId="7" fillId="0" borderId="1" pivotButton="0" quotePrefix="0" xfId="0"/>
    <xf numFmtId="164" fontId="8" fillId="0" borderId="1" applyAlignment="1" pivotButton="0" quotePrefix="0" xfId="0">
      <alignment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center"/>
    </xf>
    <xf numFmtId="164" fontId="4" fillId="0" borderId="1" pivotButton="0" quotePrefix="0" xfId="0"/>
    <xf numFmtId="165" fontId="4" fillId="0" borderId="1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5" fillId="0" borderId="1" pivotButton="0" quotePrefix="0" xfId="0"/>
    <xf numFmtId="164" fontId="4" fillId="0" borderId="1" applyAlignment="1" pivotButton="0" quotePrefix="0" xfId="0">
      <alignment wrapText="1"/>
    </xf>
    <xf numFmtId="166" fontId="4" fillId="0" borderId="1" applyAlignment="1" pivotButton="0" quotePrefix="0" xfId="1">
      <alignment vertical="center"/>
    </xf>
    <xf numFmtId="164" fontId="11" fillId="0" borderId="1" pivotButton="0" quotePrefix="0" xfId="0"/>
    <xf numFmtId="167" fontId="11" fillId="0" borderId="1" applyAlignment="1" pivotButton="0" quotePrefix="0" xfId="1">
      <alignment vertical="center"/>
    </xf>
    <xf numFmtId="167" fontId="11" fillId="0" borderId="1" applyAlignment="1" pivotButton="0" quotePrefix="0" xfId="0">
      <alignment vertical="center"/>
    </xf>
    <xf numFmtId="164" fontId="12" fillId="2" borderId="1" pivotButton="0" quotePrefix="0" xfId="0"/>
    <xf numFmtId="167" fontId="12" fillId="2" borderId="1" applyAlignment="1" pivotButton="0" quotePrefix="0" xfId="1">
      <alignment vertical="center"/>
    </xf>
    <xf numFmtId="167" fontId="12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164" fontId="12" fillId="2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2" fillId="2" borderId="0" pivotButton="0" quotePrefix="0" xfId="0"/>
    <xf numFmtId="167" fontId="12" fillId="2" borderId="0" pivotButton="0" quotePrefix="0" xfId="0"/>
    <xf numFmtId="164" fontId="7" fillId="0" borderId="1" applyAlignment="1" pivotButton="0" quotePrefix="0" xfId="0">
      <alignment horizontal="center"/>
    </xf>
    <xf numFmtId="0" fontId="0" fillId="0" borderId="2" pivotButton="0" quotePrefix="0" xfId="0"/>
    <xf numFmtId="164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</author>
  </authors>
  <commentList>
    <comment ref="B4" authorId="0" shapeId="0">
      <text>
        <t>Illustrative assumption for demonstration only.</t>
      </text>
    </comment>
    <comment ref="C4" authorId="0" shapeId="0">
      <text>
        <t>Illustrative assumption for demonstration only.</t>
      </text>
    </comment>
    <comment ref="D4" authorId="0" shapeId="0">
      <text>
        <t>Illustrative assumption for demonstration only.</t>
      </text>
    </comment>
    <comment ref="B5" authorId="0" shapeId="0">
      <text>
        <t>Illustrative assumption for demonstration only.</t>
      </text>
    </comment>
    <comment ref="C5" authorId="0" shapeId="0">
      <text>
        <t>Illustrative assumption for demonstration only.</t>
      </text>
    </comment>
    <comment ref="D5" authorId="0" shapeId="0">
      <text>
        <t>Illustrative assumption for demonstration only.</t>
      </text>
    </comment>
    <comment ref="B6" authorId="0" shapeId="0">
      <text>
        <t>Illustrative assumption for demonstration only.</t>
      </text>
    </comment>
    <comment ref="C6" authorId="0" shapeId="0">
      <text>
        <t>Illustrative assumption for demonstration only.</t>
      </text>
    </comment>
    <comment ref="D6" authorId="0" shapeId="0">
      <text>
        <t>Illustrative assumption for demonstration only.</t>
      </text>
    </comment>
    <comment ref="B7" authorId="0" shapeId="0">
      <text>
        <t>Illustrative assumption for demonstration only.</t>
      </text>
    </comment>
    <comment ref="C7" authorId="0" shapeId="0">
      <text>
        <t>Illustrative assumption for demonstration only.</t>
      </text>
    </comment>
    <comment ref="D7" authorId="0" shapeId="0">
      <text>
        <t>Illustrative assumption for demonstration only.</t>
      </text>
    </comment>
    <comment ref="B8" authorId="0" shapeId="0">
      <text>
        <t>Illustrative assumption for demonstration only.</t>
      </text>
    </comment>
    <comment ref="C8" authorId="0" shapeId="0">
      <text>
        <t>Illustrative assumption for demonstration only.</t>
      </text>
    </comment>
    <comment ref="D8" authorId="0" shapeId="0">
      <text>
        <t>Illustrative assumption for demonstration only.</t>
      </text>
    </comment>
    <comment ref="E12" authorId="0" shapeId="0">
      <text>
        <t>Illustrative assumption for demonstration only.</t>
      </text>
    </comment>
    <comment ref="F12" authorId="0" shapeId="0">
      <text>
        <t>Illustrative assumption for demonstration only.</t>
      </text>
    </comment>
    <comment ref="E13" authorId="0" shapeId="0">
      <text>
        <t>Illustrative assumption for demonstration only.</t>
      </text>
    </comment>
    <comment ref="F13" authorId="0" shapeId="0">
      <text>
        <t>Illustrative assumption for demonstration only.</t>
      </text>
    </comment>
    <comment ref="E14" authorId="0" shapeId="0">
      <text>
        <t>Illustrative assumption for demonstration only.</t>
      </text>
    </comment>
    <comment ref="F14" authorId="0" shapeId="0">
      <text>
        <t>Illustrative assumption for demonstration only.</t>
      </text>
    </comment>
    <comment ref="E15" authorId="0" shapeId="0">
      <text>
        <t>Illustrative assumption for demonstration only.</t>
      </text>
    </comment>
    <comment ref="F15" authorId="0" shapeId="0">
      <text>
        <t>Illustrative assumption for demonstration only.</t>
      </text>
    </comment>
    <comment ref="E16" authorId="0" shapeId="0">
      <text>
        <t>Illustrative assumption for demonstration only.</t>
      </text>
    </comment>
    <comment ref="F16" authorId="0" shapeId="0">
      <text>
        <t>Illustrative assumption for demonstration only.</t>
      </text>
    </comment>
    <comment ref="E17" authorId="0" shapeId="0">
      <text>
        <t>Illustrative assumption for demonstration only.</t>
      </text>
    </comment>
    <comment ref="F17" authorId="0" shapeId="0">
      <text>
        <t>Illustrative assumption for demonstration only.</t>
      </text>
    </comment>
    <comment ref="E18" authorId="0" shapeId="0">
      <text>
        <t>Illustrative assumption for demonstration only.</t>
      </text>
    </comment>
    <comment ref="F18" authorId="0" shapeId="0">
      <text>
        <t>Illustrative assumption for demonstration only.</t>
      </text>
    </comment>
    <comment ref="E19" authorId="0" shapeId="0">
      <text>
        <t>Illustrative assumption for demonstration only.</t>
      </text>
    </comment>
    <comment ref="F19" authorId="0" shapeId="0">
      <text>
        <t>Illustrative assumption for demonstration only.</t>
      </text>
    </comment>
    <comment ref="E20" authorId="0" shapeId="0">
      <text>
        <t>Illustrative assumption for demonstration only.</t>
      </text>
    </comment>
    <comment ref="F20" authorId="0" shapeId="0">
      <text>
        <t>Illustrative assumption for demonstration only.</t>
      </text>
    </comment>
    <comment ref="E21" authorId="0" shapeId="0">
      <text>
        <t>Illustrative assumption for demonstration only.</t>
      </text>
    </comment>
    <comment ref="F21" authorId="0" shapeId="0">
      <text>
        <t>Illustrative assumption for demonstration only.</t>
      </text>
    </comment>
    <comment ref="E22" authorId="0" shapeId="0">
      <text>
        <t>Illustrative assumption for demonstration only.</t>
      </text>
    </comment>
    <comment ref="F22" authorId="0" shapeId="0">
      <text>
        <t>Illustrative assumption for demonstration only.</t>
      </text>
    </comment>
    <comment ref="E23" authorId="0" shapeId="0">
      <text>
        <t>Illustrative assumption for demonstration only.</t>
      </text>
    </comment>
    <comment ref="F23" authorId="0" shapeId="0">
      <text>
        <t>Illustrative assumption for demonstration only.</t>
      </text>
    </comment>
    <comment ref="E24" authorId="0" shapeId="0">
      <text>
        <t>Illustrative assumption for demonstration only.</t>
      </text>
    </comment>
    <comment ref="F24" authorId="0" shapeId="0">
      <text>
        <t>Illustrative assumption for demonstration only.</t>
      </text>
    </comment>
    <comment ref="E25" authorId="0" shapeId="0">
      <text>
        <t>Illustrative assumption for demonstration only.</t>
      </text>
    </comment>
    <comment ref="F25" authorId="0" shapeId="0">
      <text>
        <t>Illustrative assumption for demonstration only.</t>
      </text>
    </comment>
    <comment ref="E26" authorId="0" shapeId="0">
      <text>
        <t>Illustrative assumption for demonstration only.</t>
      </text>
    </comment>
    <comment ref="F26" authorId="0" shapeId="0">
      <text>
        <t>Illustrative assumption for demonstration only.</t>
      </text>
    </comment>
    <comment ref="E27" authorId="0" shapeId="0">
      <text>
        <t>Illustrative assumption for demonstration only.</t>
      </text>
    </comment>
    <comment ref="F27" authorId="0" shapeId="0">
      <text>
        <t>Illustrative assumption for demonstration only.</t>
      </text>
    </comment>
    <comment ref="E28" authorId="0" shapeId="0">
      <text>
        <t>Illustrative assumption for demonstration only.</t>
      </text>
    </comment>
    <comment ref="F28" authorId="0" shapeId="0">
      <text>
        <t>Illustrative assumption for demonstration only.</t>
      </text>
    </comment>
    <comment ref="E29" authorId="0" shapeId="0">
      <text>
        <t>Illustrative assumption for demonstration only.</t>
      </text>
    </comment>
    <comment ref="F29" authorId="0" shapeId="0">
      <text>
        <t>Illustrative assumption for demonstration only.</t>
      </text>
    </comment>
    <comment ref="E32" authorId="0" shapeId="0">
      <text>
        <t>Illustrative assumption for demonstration only.</t>
      </text>
    </comment>
    <comment ref="F32" authorId="0" shapeId="0">
      <text>
        <t>Illustrative assumption for demonstration only.</t>
      </text>
    </comment>
    <comment ref="E33" authorId="0" shapeId="0">
      <text>
        <t>Illustrative assumption for demonstration only.</t>
      </text>
    </comment>
    <comment ref="F33" authorId="0" shapeId="0">
      <text>
        <t>Illustrative assumption for demonstration only.</t>
      </text>
    </comment>
    <comment ref="E34" authorId="0" shapeId="0">
      <text>
        <t>Illustrative assumption for demonstration only.</t>
      </text>
    </comment>
    <comment ref="F34" authorId="0" shapeId="0">
      <text>
        <t>Illustrative assumption for demonstration only.</t>
      </text>
    </comment>
    <comment ref="E37" authorId="0" shapeId="0">
      <text>
        <t>Illustrative assumption for demonstration only.</t>
      </text>
    </comment>
    <comment ref="F37" authorId="0" shapeId="0">
      <text>
        <t>Illustrative assumption for demonstration only.</t>
      </text>
    </comment>
    <comment ref="E38" authorId="0" shapeId="0">
      <text>
        <t>Illustrative assumption for demonstration only.</t>
      </text>
    </comment>
    <comment ref="F38" authorId="0" shapeId="0">
      <text>
        <t>Illustrative assumption for demonstration 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B44"/>
  <sheetViews>
    <sheetView showGridLines="0" tabSelected="1" workbookViewId="0">
      <selection activeCell="N18" sqref="N18"/>
    </sheetView>
  </sheetViews>
  <sheetFormatPr baseColWidth="8" defaultRowHeight="15"/>
  <cols>
    <col width="49" customWidth="1" style="1" min="1" max="1"/>
    <col width="19" customWidth="1" style="1" min="2" max="3"/>
    <col width="19" customWidth="1" style="2" min="4" max="4"/>
    <col width="19" customWidth="1" style="1" min="5" max="5"/>
    <col width="19" customWidth="1" style="3" min="6" max="6"/>
    <col width="19" customWidth="1" style="1" min="7" max="7"/>
    <col width="9.140625" customWidth="1" style="1" min="8" max="8"/>
    <col width="9.140625" customWidth="1" style="1" min="9" max="16384"/>
  </cols>
  <sheetData>
    <row r="1" ht="21.75" customFormat="1" customHeight="1" s="42">
      <c r="A1" s="41" t="inlineStr">
        <is>
          <t xml:space="preserve">WISDOM SCHOOL </t>
        </is>
      </c>
      <c r="D1" s="5" t="n"/>
      <c r="F1" s="6" t="n"/>
      <c r="G1" s="1" t="n"/>
    </row>
    <row r="2" ht="18" customFormat="1" customHeight="1" s="42">
      <c r="A2" s="39" t="inlineStr">
        <is>
          <t>BUDGETS TERM I ACAD YEAR 2026-2027.</t>
        </is>
      </c>
      <c r="B2" s="40" t="n"/>
      <c r="C2" s="11" t="n"/>
      <c r="D2" s="12" t="n"/>
      <c r="E2" s="11" t="n"/>
      <c r="F2" s="13" t="n"/>
      <c r="G2" s="11" t="n"/>
    </row>
    <row r="3" ht="18" customFormat="1" customHeight="1" s="42">
      <c r="A3" s="14" t="inlineStr">
        <is>
          <t>INCOME</t>
        </is>
      </c>
      <c r="B3" s="15" t="inlineStr">
        <is>
          <t>No of Children</t>
        </is>
      </c>
      <c r="C3" s="16" t="inlineStr">
        <is>
          <t>Fees</t>
        </is>
      </c>
      <c r="D3" s="17" t="inlineStr">
        <is>
          <t>Total Income</t>
        </is>
      </c>
      <c r="E3" s="16" t="inlineStr">
        <is>
          <t>Budget</t>
        </is>
      </c>
      <c r="F3" s="18" t="inlineStr">
        <is>
          <t>Expenses</t>
        </is>
      </c>
      <c r="G3" s="16" t="inlineStr">
        <is>
          <t>Balance</t>
        </is>
      </c>
    </row>
    <row r="4" customFormat="1" s="7">
      <c r="A4" s="19" t="inlineStr">
        <is>
          <t>School Fees</t>
        </is>
      </c>
      <c r="B4" s="27" t="n"/>
      <c r="C4" s="28" t="n"/>
      <c r="D4" s="29">
        <f>B4*C4</f>
        <v/>
      </c>
      <c r="E4" s="21" t="n"/>
      <c r="F4" s="22" t="n"/>
      <c r="G4" s="21" t="n"/>
    </row>
    <row r="5" customFormat="1" s="7">
      <c r="A5" s="19" t="inlineStr">
        <is>
          <t>Lunch</t>
        </is>
      </c>
      <c r="B5" s="27" t="n"/>
      <c r="C5" s="28" t="n"/>
      <c r="D5" s="29">
        <f>B5*C5</f>
        <v/>
      </c>
      <c r="E5" s="21" t="n"/>
      <c r="F5" s="22" t="n"/>
      <c r="G5" s="21" t="n"/>
    </row>
    <row r="6" customFormat="1" s="7">
      <c r="A6" s="19" t="inlineStr">
        <is>
          <t>Breakfast</t>
        </is>
      </c>
      <c r="B6" s="27" t="n"/>
      <c r="C6" s="28" t="n"/>
      <c r="D6" s="29">
        <f>B6*C6</f>
        <v/>
      </c>
      <c r="E6" s="21" t="n"/>
      <c r="F6" s="22" t="n"/>
      <c r="G6" s="21" t="n"/>
    </row>
    <row r="7" customFormat="1" s="7">
      <c r="A7" s="19" t="inlineStr">
        <is>
          <t>Transport</t>
        </is>
      </c>
      <c r="B7" s="27" t="n"/>
      <c r="C7" s="28" t="n"/>
      <c r="D7" s="29">
        <f>B7*C7</f>
        <v/>
      </c>
      <c r="E7" s="21" t="n"/>
      <c r="F7" s="22" t="n"/>
      <c r="G7" s="21" t="n"/>
    </row>
    <row r="8" customFormat="1" s="7">
      <c r="A8" s="19" t="inlineStr">
        <is>
          <t>OTHERS</t>
        </is>
      </c>
      <c r="B8" s="27" t="n"/>
      <c r="C8" s="28" t="n"/>
      <c r="D8" s="29">
        <f>B8*C8</f>
        <v/>
      </c>
      <c r="E8" s="21" t="n"/>
      <c r="F8" s="22" t="n"/>
      <c r="G8" s="21" t="n"/>
    </row>
    <row r="9" customFormat="1" s="7">
      <c r="A9" s="30" t="inlineStr">
        <is>
          <t>TOTAL INCOME</t>
        </is>
      </c>
      <c r="B9" s="30">
        <f>SUM(B4:B8)</f>
        <v/>
      </c>
      <c r="C9" s="31">
        <f>SUM(C4:C8)</f>
        <v/>
      </c>
      <c r="D9" s="32">
        <f>SUM(D4:D8)</f>
        <v/>
      </c>
      <c r="E9" s="33" t="n"/>
      <c r="F9" s="34" t="n"/>
      <c r="G9" s="33" t="n"/>
    </row>
    <row r="10" ht="18" customFormat="1" customHeight="1" s="7">
      <c r="A10" s="14" t="inlineStr">
        <is>
          <t>EXPENSES</t>
        </is>
      </c>
      <c r="B10" s="19" t="n"/>
      <c r="C10" s="20" t="n"/>
      <c r="D10" s="23" t="n"/>
      <c r="E10" s="21" t="n"/>
      <c r="F10" s="22" t="n"/>
      <c r="G10" s="21" t="n"/>
    </row>
    <row r="11" ht="14.25" customFormat="1" customHeight="1" s="7">
      <c r="A11" s="24" t="inlineStr">
        <is>
          <t>OPERATING EXPENSES</t>
        </is>
      </c>
      <c r="B11" s="19" t="n"/>
      <c r="C11" s="20" t="n"/>
      <c r="D11" s="23" t="n"/>
      <c r="E11" s="21" t="n"/>
      <c r="F11" s="22" t="n"/>
      <c r="G11" s="21" t="n"/>
    </row>
    <row r="12" customFormat="1" s="7">
      <c r="A12" s="19" t="inlineStr">
        <is>
          <t>School materials</t>
        </is>
      </c>
      <c r="B12" s="19" t="n"/>
      <c r="C12" s="21" t="n"/>
      <c r="D12" s="23" t="n"/>
      <c r="E12" s="28" t="n"/>
      <c r="F12" s="29" t="n"/>
      <c r="G12" s="35">
        <f>E12-F12</f>
        <v/>
      </c>
    </row>
    <row r="13" customFormat="1" s="7">
      <c r="A13" s="19" t="inlineStr">
        <is>
          <t>Food Expenses</t>
        </is>
      </c>
      <c r="B13" s="19" t="n"/>
      <c r="C13" s="21" t="n"/>
      <c r="D13" s="23" t="n"/>
      <c r="E13" s="28" t="n"/>
      <c r="F13" s="29" t="n"/>
      <c r="G13" s="35">
        <f>E13-F13</f>
        <v/>
      </c>
    </row>
    <row r="14" ht="28.5" customFormat="1" customHeight="1" s="7">
      <c r="A14" s="25" t="inlineStr">
        <is>
          <t>Travel, Mission &amp; Transport expenses</t>
        </is>
      </c>
      <c r="B14" s="19" t="n"/>
      <c r="C14" s="21" t="n"/>
      <c r="D14" s="23" t="n"/>
      <c r="E14" s="28" t="n"/>
      <c r="F14" s="29" t="n"/>
      <c r="G14" s="35">
        <f>E14-F14</f>
        <v/>
      </c>
    </row>
    <row r="15" customFormat="1" s="7">
      <c r="A15" s="19" t="inlineStr">
        <is>
          <t>Fuel</t>
        </is>
      </c>
      <c r="B15" s="19" t="n"/>
      <c r="C15" s="21" t="n"/>
      <c r="D15" s="23" t="n"/>
      <c r="E15" s="28" t="n"/>
      <c r="F15" s="29" t="n"/>
      <c r="G15" s="35">
        <f>E15-F15</f>
        <v/>
      </c>
    </row>
    <row r="16" customFormat="1" s="7">
      <c r="A16" s="19" t="inlineStr">
        <is>
          <t>Vehicle Maintenance</t>
        </is>
      </c>
      <c r="B16" s="19" t="n"/>
      <c r="C16" s="21" t="n"/>
      <c r="D16" s="23" t="n"/>
      <c r="E16" s="28" t="n"/>
      <c r="F16" s="29" t="n"/>
      <c r="G16" s="35">
        <f>E16-F16</f>
        <v/>
      </c>
    </row>
    <row r="17" customFormat="1" s="7">
      <c r="A17" s="19" t="inlineStr">
        <is>
          <t>Utilities(Water &amp; Electricity)</t>
        </is>
      </c>
      <c r="B17" s="19" t="n"/>
      <c r="C17" s="21" t="n"/>
      <c r="D17" s="23" t="n"/>
      <c r="E17" s="28" t="n"/>
      <c r="F17" s="29" t="n"/>
      <c r="G17" s="35">
        <f>E17-F17</f>
        <v/>
      </c>
    </row>
    <row r="18" customFormat="1" s="7">
      <c r="A18" s="19" t="inlineStr">
        <is>
          <t>Rental Expenses</t>
        </is>
      </c>
      <c r="B18" s="19" t="n"/>
      <c r="C18" s="21" t="n"/>
      <c r="D18" s="23" t="n"/>
      <c r="E18" s="28" t="n"/>
      <c r="F18" s="29" t="n"/>
      <c r="G18" s="35">
        <f>E18-F18</f>
        <v/>
      </c>
    </row>
    <row r="19" customFormat="1" s="7">
      <c r="A19" s="19" t="inlineStr">
        <is>
          <t>Insurance (veh)</t>
        </is>
      </c>
      <c r="B19" s="19" t="n"/>
      <c r="C19" s="21" t="n"/>
      <c r="D19" s="23" t="n"/>
      <c r="E19" s="28" t="n"/>
      <c r="F19" s="29" t="n"/>
      <c r="G19" s="35">
        <f>E19-F19</f>
        <v/>
      </c>
    </row>
    <row r="20" customFormat="1" s="7">
      <c r="A20" s="19" t="inlineStr">
        <is>
          <t>Taxes</t>
        </is>
      </c>
      <c r="B20" s="19" t="n"/>
      <c r="C20" s="21" t="n"/>
      <c r="D20" s="23" t="n"/>
      <c r="E20" s="28" t="n"/>
      <c r="F20" s="29" t="n"/>
      <c r="G20" s="35">
        <f>E20-F20</f>
        <v/>
      </c>
    </row>
    <row r="21" customFormat="1" s="7">
      <c r="A21" s="19" t="inlineStr">
        <is>
          <t>Communication</t>
        </is>
      </c>
      <c r="B21" s="19" t="n"/>
      <c r="C21" s="21" t="n"/>
      <c r="D21" s="23" t="n"/>
      <c r="E21" s="28" t="n"/>
      <c r="F21" s="29" t="n"/>
      <c r="G21" s="35">
        <f>E21-F21</f>
        <v/>
      </c>
    </row>
    <row r="22" customFormat="1" s="7">
      <c r="A22" s="19" t="inlineStr">
        <is>
          <t>Capacity Building</t>
        </is>
      </c>
      <c r="B22" s="19" t="n"/>
      <c r="C22" s="21" t="n"/>
      <c r="D22" s="23" t="n"/>
      <c r="E22" s="28" t="n"/>
      <c r="F22" s="29" t="n"/>
      <c r="G22" s="35">
        <f>E22-F22</f>
        <v/>
      </c>
    </row>
    <row r="23" customFormat="1" s="7">
      <c r="A23" s="19" t="inlineStr">
        <is>
          <t>Audit Fees</t>
        </is>
      </c>
      <c r="B23" s="19" t="n"/>
      <c r="C23" s="21" t="n"/>
      <c r="D23" s="23" t="n"/>
      <c r="E23" s="28" t="n"/>
      <c r="F23" s="29" t="n"/>
      <c r="G23" s="35">
        <f>E23-F23</f>
        <v/>
      </c>
    </row>
    <row r="24" customFormat="1" s="7">
      <c r="A24" s="19" t="inlineStr">
        <is>
          <t>Remmedial program</t>
        </is>
      </c>
      <c r="B24" s="19" t="n"/>
      <c r="C24" s="21" t="n"/>
      <c r="D24" s="23" t="n"/>
      <c r="E24" s="28" t="n"/>
      <c r="F24" s="29" t="n"/>
      <c r="G24" s="35">
        <f>E24-F24</f>
        <v/>
      </c>
    </row>
    <row r="25" customFormat="1" s="7">
      <c r="A25" s="19" t="inlineStr">
        <is>
          <t>Rehabilitation &amp; Maintenance</t>
        </is>
      </c>
      <c r="B25" s="19" t="n"/>
      <c r="C25" s="21" t="n"/>
      <c r="D25" s="23" t="n"/>
      <c r="E25" s="28" t="n"/>
      <c r="F25" s="29" t="n"/>
      <c r="G25" s="35">
        <f>E25-F25</f>
        <v/>
      </c>
    </row>
    <row r="26" customFormat="1" s="7">
      <c r="A26" s="19" t="inlineStr">
        <is>
          <t>Donation</t>
        </is>
      </c>
      <c r="B26" s="19" t="n"/>
      <c r="C26" s="21" t="n"/>
      <c r="D26" s="23" t="n"/>
      <c r="E26" s="28" t="n"/>
      <c r="F26" s="29" t="n"/>
      <c r="G26" s="35">
        <f>E26-F26</f>
        <v/>
      </c>
    </row>
    <row r="27" customFormat="1" s="7">
      <c r="A27" s="19" t="inlineStr">
        <is>
          <t>Firstaid &amp; Hygiene</t>
        </is>
      </c>
      <c r="B27" s="19" t="n"/>
      <c r="C27" s="21" t="n"/>
      <c r="D27" s="23" t="n"/>
      <c r="E27" s="28" t="n"/>
      <c r="F27" s="29" t="n"/>
      <c r="G27" s="35">
        <f>E27-F27</f>
        <v/>
      </c>
    </row>
    <row r="28" customFormat="1" s="7">
      <c r="A28" s="19" t="inlineStr">
        <is>
          <t>Fines &amp; Penalties</t>
        </is>
      </c>
      <c r="B28" s="19" t="n"/>
      <c r="C28" s="21" t="n"/>
      <c r="D28" s="23" t="n"/>
      <c r="E28" s="28" t="n"/>
      <c r="F28" s="29" t="n"/>
      <c r="G28" s="35">
        <f>E28-F28</f>
        <v/>
      </c>
    </row>
    <row r="29" customFormat="1" s="7">
      <c r="A29" s="19" t="inlineStr">
        <is>
          <t>Payables</t>
        </is>
      </c>
      <c r="B29" s="19" t="n"/>
      <c r="C29" s="21" t="n"/>
      <c r="D29" s="23" t="n"/>
      <c r="E29" s="28" t="n"/>
      <c r="F29" s="29" t="n"/>
      <c r="G29" s="35">
        <f>E29-F29</f>
        <v/>
      </c>
    </row>
    <row r="30" customFormat="1" s="8">
      <c r="A30" s="30" t="inlineStr">
        <is>
          <t>Total Operating Expenses</t>
        </is>
      </c>
      <c r="B30" s="30" t="n"/>
      <c r="C30" s="33" t="n"/>
      <c r="D30" s="33" t="n"/>
      <c r="E30" s="31">
        <f>SUM(E12:E29)</f>
        <v/>
      </c>
      <c r="F30" s="32">
        <f>SUM(F12:F29)</f>
        <v/>
      </c>
      <c r="G30" s="32">
        <f>E30-F30</f>
        <v/>
      </c>
    </row>
    <row r="31" customFormat="1" s="7">
      <c r="A31" s="24" t="inlineStr">
        <is>
          <t>ADMINISTRATIVE COSTS</t>
        </is>
      </c>
      <c r="B31" s="19" t="n"/>
      <c r="C31" s="21" t="n"/>
      <c r="D31" s="21" t="n"/>
      <c r="E31" s="26" t="n"/>
      <c r="F31" s="22" t="n"/>
      <c r="G31" s="35">
        <f>SUM(E31-F31)</f>
        <v/>
      </c>
    </row>
    <row r="32" customFormat="1" s="7">
      <c r="A32" s="19" t="inlineStr">
        <is>
          <t>Staff Salaries</t>
        </is>
      </c>
      <c r="B32" s="19" t="n"/>
      <c r="C32" s="21" t="n"/>
      <c r="D32" s="21" t="n"/>
      <c r="E32" s="28" t="n"/>
      <c r="F32" s="29" t="n"/>
      <c r="G32" s="35">
        <f>E32-F32</f>
        <v/>
      </c>
    </row>
    <row r="33" customFormat="1" s="7">
      <c r="A33" s="19" t="inlineStr">
        <is>
          <t>RSSB Contributions</t>
        </is>
      </c>
      <c r="B33" s="19" t="n"/>
      <c r="C33" s="21" t="n"/>
      <c r="D33" s="21" t="n"/>
      <c r="E33" s="28" t="n"/>
      <c r="F33" s="29" t="n"/>
      <c r="G33" s="35">
        <f>E33-F33</f>
        <v/>
      </c>
    </row>
    <row r="34" ht="25.5" customFormat="1" customHeight="1" s="7">
      <c r="A34" s="25" t="inlineStr">
        <is>
          <t>Marketting, Meetings, Conference &amp; Rewards</t>
        </is>
      </c>
      <c r="B34" s="19" t="n"/>
      <c r="C34" s="21" t="n"/>
      <c r="D34" s="21" t="n"/>
      <c r="E34" s="28" t="n"/>
      <c r="F34" s="29" t="n"/>
      <c r="G34" s="35">
        <f>E34-F34</f>
        <v/>
      </c>
    </row>
    <row r="35" customFormat="1" s="8">
      <c r="A35" s="30" t="inlineStr">
        <is>
          <t>Total Administrative  Expenses</t>
        </is>
      </c>
      <c r="B35" s="30" t="n"/>
      <c r="C35" s="33" t="n"/>
      <c r="D35" s="33" t="n"/>
      <c r="E35" s="31">
        <f>SUM(E32:E34)</f>
        <v/>
      </c>
      <c r="F35" s="32">
        <f>SUM(F32:F34)</f>
        <v/>
      </c>
      <c r="G35" s="32">
        <f>E35-F35</f>
        <v/>
      </c>
      <c r="XFB35" s="9">
        <f>SUM(E35:XFA35)</f>
        <v/>
      </c>
    </row>
    <row r="36" customFormat="1" s="7">
      <c r="A36" s="24" t="inlineStr">
        <is>
          <t>FINANCE COSTS</t>
        </is>
      </c>
      <c r="B36" s="19" t="n"/>
      <c r="C36" s="21" t="n"/>
      <c r="D36" s="21" t="n"/>
      <c r="E36" s="26" t="n"/>
      <c r="F36" s="22" t="n"/>
      <c r="G36" s="35">
        <f>SUM(E36-F36)</f>
        <v/>
      </c>
    </row>
    <row r="37" customFormat="1" s="7">
      <c r="A37" s="19" t="inlineStr">
        <is>
          <t>Bank Loan Payments</t>
        </is>
      </c>
      <c r="B37" s="19" t="n"/>
      <c r="C37" s="21" t="n"/>
      <c r="D37" s="21" t="n"/>
      <c r="E37" s="28" t="n"/>
      <c r="F37" s="29" t="n"/>
      <c r="G37" s="35">
        <f>E37-F37</f>
        <v/>
      </c>
    </row>
    <row r="38" ht="28.5" customFormat="1" customHeight="1" s="7">
      <c r="A38" s="25" t="inlineStr">
        <is>
          <t>Bank Charges &amp; Account Maintenance Fees</t>
        </is>
      </c>
      <c r="B38" s="19" t="n"/>
      <c r="C38" s="21" t="n"/>
      <c r="D38" s="21" t="n"/>
      <c r="E38" s="28" t="n"/>
      <c r="F38" s="29" t="n"/>
      <c r="G38" s="35">
        <f>E38-F38</f>
        <v/>
      </c>
    </row>
    <row r="39" customFormat="1" s="7">
      <c r="A39" s="30" t="inlineStr">
        <is>
          <t>Total Finance Costs</t>
        </is>
      </c>
      <c r="B39" s="30" t="n"/>
      <c r="C39" s="33" t="n"/>
      <c r="D39" s="33" t="n"/>
      <c r="E39" s="31">
        <f>SUM(E37:E38)</f>
        <v/>
      </c>
      <c r="F39" s="32">
        <f>SUM(F37:F38)</f>
        <v/>
      </c>
      <c r="G39" s="32">
        <f>E39-F39</f>
        <v/>
      </c>
    </row>
    <row r="40" customFormat="1" s="7">
      <c r="A40" s="30" t="inlineStr">
        <is>
          <t>TOTAL EXPENSES</t>
        </is>
      </c>
      <c r="B40" s="30" t="n"/>
      <c r="C40" s="33" t="n"/>
      <c r="D40" s="33" t="n"/>
      <c r="E40" s="31">
        <f>E30+E35+E39</f>
        <v/>
      </c>
      <c r="F40" s="32">
        <f>F30+F35+F39</f>
        <v/>
      </c>
      <c r="G40" s="32">
        <f>E40-F40</f>
        <v/>
      </c>
    </row>
    <row r="42">
      <c r="A42" s="36" t="n"/>
      <c r="B42" s="37" t="n"/>
      <c r="C42" s="37" t="n"/>
      <c r="D42" s="37" t="n"/>
      <c r="E42" s="37" t="n"/>
      <c r="F42" s="38">
        <f>D9-F40</f>
        <v/>
      </c>
      <c r="G42" s="37" t="n"/>
    </row>
    <row r="43"/>
    <row r="44">
      <c r="A44" s="10" t="n"/>
    </row>
  </sheetData>
  <mergeCells count="2">
    <mergeCell ref="A2:B2"/>
    <mergeCell ref="A1:B1"/>
  </mergeCells>
  <pageMargins left="0.7" right="0.7" top="0.75" bottom="0.75" header="0.3" footer="0.3"/>
  <pageSetup orientation="portrait" paperSize="0" horizontalDpi="203" verticalDpi="20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tg</dc:creator>
  <dcterms:created xmlns:dcterms="http://purl.org/dc/terms/" xmlns:xsi="http://www.w3.org/2001/XMLSchema-instance" xsi:type="dcterms:W3CDTF">2026-09-21T07:51:17Z</dcterms:created>
  <dcterms:modified xmlns:dcterms="http://purl.org/dc/terms/" xmlns:xsi="http://www.w3.org/2001/XMLSchema-instance" xsi:type="dcterms:W3CDTF">2026-10-26T11:59:53Z</dcterms:modified>
  <cp:lastModifiedBy>Jean methode ukundaba</cp:lastModifiedBy>
</cp:coreProperties>
</file>