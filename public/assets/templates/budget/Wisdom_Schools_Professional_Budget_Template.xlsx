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ETUP" sheetId="2" state="visible" r:id="rId4"/>
    <sheet name="BUDGET_PLAN" sheetId="3" state="visible" r:id="rId5"/>
    <sheet name="CASH_FLOW" sheetId="4" state="visible" r:id="rId6"/>
    <sheet name="BUDGET_SUMMARY" sheetId="5" state="visible" r:id="rId7"/>
    <sheet name="IMPORT_TEMPLATE" sheetId="6" state="visible" r:id="rId8"/>
    <sheet name="LISTS" sheetId="7" state="hidden" r:id="rId9"/>
  </sheets>
  <definedNames>
    <definedName function="false" hidden="false" localSheetId="2" name="_xlnm.Print_Titles" vbProcedure="false">BUDGET_PLAN!$1:$5</definedName>
    <definedName function="false" hidden="true" localSheetId="2" name="_xlnm._FilterDatabase" vbProcedure="false">BUDGET_PLAN!$A$5:$AE$40</definedName>
    <definedName function="false" hidden="true" localSheetId="5" name="_xlnm._FilterDatabase" vbProcedure="false">IMPORT_TEMPLATE!$A$5:$R$32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<sst xmlns="http://schemas.openxmlformats.org/spreadsheetml/2006/main" count="622" uniqueCount="346">
  <si>
    <t xml:space="preserve">WISDOM SCHOOLS – PROFESSIONAL BUDGET PLANNING WORKBOOK</t>
  </si>
  <si>
    <t xml:space="preserve">Purpose</t>
  </si>
  <si>
    <t xml:space="preserve">This workbook supports branch budget preparation, cash-flow forecasting, budget control, and structured import into the Wisdom Schools CodeIgniter 4 system.</t>
  </si>
  <si>
    <t xml:space="preserve">HOW TO USE</t>
  </si>
  <si>
    <t xml:space="preserve">1. Complete organization, branch, year, dates, currency, and approval settings on SETUP.</t>
  </si>
  <si>
    <t xml:space="preserve">2. Enter assumptions and planned amounts on BUDGET_PLAN. Blue-font cells are user inputs; black-font cells are formulas.</t>
  </si>
  <si>
    <t xml:space="preserve">3. Choose a calculation mode: Monthly, Unit-based, or Manual Annual.</t>
  </si>
  <si>
    <t xml:space="preserve">4. Review monthly and term-level liquidity on CASH_FLOW.</t>
  </si>
  <si>
    <t xml:space="preserve">5. Review management KPIs, section totals, and charts on BUDGET_SUMMARY.</t>
  </si>
  <si>
    <t xml:space="preserve">6. Use IMPORT_TEMPLATE as the clean, system-ready structure for upload into School Settings.</t>
  </si>
  <si>
    <t xml:space="preserve">7. Do not delete formula columns or total rows. Add extra categories only in unused lines or through the application template manager.</t>
  </si>
  <si>
    <t xml:space="preserve">COLOR LEGEND</t>
  </si>
  <si>
    <t xml:space="preserve">Blue font / yellow fill</t>
  </si>
  <si>
    <t xml:space="preserve">User-entered assumptions and amounts</t>
  </si>
  <si>
    <t xml:space="preserve">Black font</t>
  </si>
  <si>
    <t xml:space="preserve">Formulas and calculated results</t>
  </si>
  <si>
    <t xml:space="preserve">Green font</t>
  </si>
  <si>
    <t xml:space="preserve">Links from another worksheet</t>
  </si>
  <si>
    <t xml:space="preserve">Orange fill</t>
  </si>
  <si>
    <t xml:space="preserve">Review or caution item</t>
  </si>
  <si>
    <t xml:space="preserve">Light red fill</t>
  </si>
  <si>
    <t xml:space="preserve">Error, missing data, or budget breach</t>
  </si>
  <si>
    <t xml:space="preserve">Purple fill</t>
  </si>
  <si>
    <t xml:space="preserve">Control or workflow setting</t>
  </si>
  <si>
    <t xml:space="preserve">CONTROL NOTES</t>
  </si>
  <si>
    <t xml:space="preserve">Amounts are expressed in the currency selected on SETUP.</t>
  </si>
  <si>
    <t xml:space="preserve">Zeros display as dashes; negative values display in red parentheses.</t>
  </si>
  <si>
    <t xml:space="preserve">Budget availability = approved/revised budget − commitments − paid actuals.</t>
  </si>
  <si>
    <t xml:space="preserve">AI suggestions, when used by the application, must remain advisory and require human confirmation.</t>
  </si>
  <si>
    <t xml:space="preserve">BUDGET CONTROL &amp; ORGANIZATION SETUP</t>
  </si>
  <si>
    <t xml:space="preserve">ORGANIZATION AND BUDGET PERIOD</t>
  </si>
  <si>
    <t xml:space="preserve">Setting</t>
  </si>
  <si>
    <t xml:space="preserve">Value</t>
  </si>
  <si>
    <t xml:space="preserve">Guidance</t>
  </si>
  <si>
    <t xml:space="preserve">Organization Name</t>
  </si>
  <si>
    <t xml:space="preserve">Wisdom Schools Ltd</t>
  </si>
  <si>
    <t xml:space="preserve">Official legal or operating name</t>
  </si>
  <si>
    <t xml:space="preserve">Branch</t>
  </si>
  <si>
    <t xml:space="preserve">Musanze</t>
  </si>
  <si>
    <t xml:space="preserve">Select one of the 15 branches</t>
  </si>
  <si>
    <t xml:space="preserve">Branch Code</t>
  </si>
  <si>
    <t xml:space="preserve">MUS</t>
  </si>
  <si>
    <t xml:space="preserve">Used in request numbering</t>
  </si>
  <si>
    <t xml:space="preserve">Budget Year</t>
  </si>
  <si>
    <t xml:space="preserve">2027</t>
  </si>
  <si>
    <t xml:space="preserve">Planning year</t>
  </si>
  <si>
    <t xml:space="preserve">Budget Period</t>
  </si>
  <si>
    <t xml:space="preserve">Annual</t>
  </si>
  <si>
    <t xml:space="preserve">Annual, termly, monthly, or quarterly</t>
  </si>
  <si>
    <t xml:space="preserve">Start Date</t>
  </si>
  <si>
    <t xml:space="preserve">2027-01-01</t>
  </si>
  <si>
    <t xml:space="preserve">Budget start date</t>
  </si>
  <si>
    <t xml:space="preserve">End Date</t>
  </si>
  <si>
    <t xml:space="preserve">2027-12-31</t>
  </si>
  <si>
    <t xml:space="preserve">Budget end date</t>
  </si>
  <si>
    <t xml:space="preserve">Currency</t>
  </si>
  <si>
    <t xml:space="preserve">RWF</t>
  </si>
  <si>
    <t xml:space="preserve">Workbook reporting currency</t>
  </si>
  <si>
    <t xml:space="preserve">Prepared By</t>
  </si>
  <si>
    <t xml:space="preserve">Name of School Accountant</t>
  </si>
  <si>
    <t xml:space="preserve">Headteacher</t>
  </si>
  <si>
    <t xml:space="preserve">Approving Headteacher</t>
  </si>
  <si>
    <t xml:space="preserve">Budget Manager</t>
  </si>
  <si>
    <t xml:space="preserve">Budget availability reviewer</t>
  </si>
  <si>
    <t xml:space="preserve">Deputy Director of Finance</t>
  </si>
  <si>
    <t xml:space="preserve">Final approver</t>
  </si>
  <si>
    <t xml:space="preserve">Version</t>
  </si>
  <si>
    <t xml:space="preserve">1.0</t>
  </si>
  <si>
    <t xml:space="preserve">Budget version</t>
  </si>
  <si>
    <t xml:space="preserve">Budget Status</t>
  </si>
  <si>
    <t xml:space="preserve">Draft</t>
  </si>
  <si>
    <t xml:space="preserve">Workflow status</t>
  </si>
  <si>
    <t xml:space="preserve">Headteacher Approval Mode</t>
  </si>
  <si>
    <t xml:space="preserve">Evidence-only Approval</t>
  </si>
  <si>
    <t xml:space="preserve">System approval or signed evidence</t>
  </si>
  <si>
    <t xml:space="preserve">PLANNING ASSUMPTIONS</t>
  </si>
  <si>
    <t xml:space="preserve">Assumption</t>
  </si>
  <si>
    <t xml:space="preserve">Unit</t>
  </si>
  <si>
    <t xml:space="preserve">Notes</t>
  </si>
  <si>
    <t xml:space="preserve">Expected Enrollment</t>
  </si>
  <si>
    <t xml:space="preserve">Students</t>
  </si>
  <si>
    <t xml:space="preserve">Tuition Increase</t>
  </si>
  <si>
    <t xml:space="preserve">%</t>
  </si>
  <si>
    <t xml:space="preserve">Food Cost Inflation</t>
  </si>
  <si>
    <t xml:space="preserve">General Inflation</t>
  </si>
  <si>
    <t xml:space="preserve">Salary Increase</t>
  </si>
  <si>
    <t xml:space="preserve">Contingency Rate</t>
  </si>
  <si>
    <t xml:space="preserve">Minimum Cash Buffer</t>
  </si>
  <si>
    <t xml:space="preserve">Budget Utilization Alert</t>
  </si>
  <si>
    <t xml:space="preserve">Critical Utilization Alert</t>
  </si>
  <si>
    <t xml:space="preserve">APPROVAL ROUTING</t>
  </si>
  <si>
    <t xml:space="preserve">Step</t>
  </si>
  <si>
    <t xml:space="preserve">Role</t>
  </si>
  <si>
    <t xml:space="preserve">Responsibility</t>
  </si>
  <si>
    <t xml:space="preserve">SLA (days)</t>
  </si>
  <si>
    <t xml:space="preserve">Active</t>
  </si>
  <si>
    <t xml:space="preserve">1</t>
  </si>
  <si>
    <t xml:space="preserve">School Accountant</t>
  </si>
  <si>
    <t xml:space="preserve">Prepare and submit</t>
  </si>
  <si>
    <t xml:space="preserve">Yes</t>
  </si>
  <si>
    <t xml:space="preserve">2</t>
  </si>
  <si>
    <t xml:space="preserve">Approve in system or provide signed evidence</t>
  </si>
  <si>
    <t xml:space="preserve">3</t>
  </si>
  <si>
    <t xml:space="preserve">Procurement Manager</t>
  </si>
  <si>
    <t xml:space="preserve">Verify procurement compliance</t>
  </si>
  <si>
    <t xml:space="preserve">4</t>
  </si>
  <si>
    <t xml:space="preserve">Confirm budget availability and commitment</t>
  </si>
  <si>
    <t xml:space="preserve">5</t>
  </si>
  <si>
    <t xml:space="preserve">Final approval and payment authorization</t>
  </si>
  <si>
    <t xml:space="preserve">6</t>
  </si>
  <si>
    <t xml:space="preserve">Finance / Payment Officer</t>
  </si>
  <si>
    <t xml:space="preserve">Process payment</t>
  </si>
  <si>
    <t xml:space="preserve">7</t>
  </si>
  <si>
    <t xml:space="preserve">Confirm receipt and file documents</t>
  </si>
  <si>
    <t xml:space="preserve">SMART BUDGET PREPARATION FORM</t>
  </si>
  <si>
    <t xml:space="preserve">Period</t>
  </si>
  <si>
    <t xml:space="preserve">Status</t>
  </si>
  <si>
    <t xml:space="preserve">Line ID</t>
  </si>
  <si>
    <t xml:space="preserve">Section</t>
  </si>
  <si>
    <t xml:space="preserve">Category</t>
  </si>
  <si>
    <t xml:space="preserve">Subcategory / Description</t>
  </si>
  <si>
    <t xml:space="preserve">Account Code</t>
  </si>
  <si>
    <t xml:space="preserve">Calculation Mode</t>
  </si>
  <si>
    <t xml:space="preserve">Quantity</t>
  </si>
  <si>
    <t xml:space="preserve">Unit Cost</t>
  </si>
  <si>
    <t xml:space="preserve">Frequency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</si>
  <si>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</si>
  <si>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</si>
  <si>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</si>
  <si>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</si>
  <si>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</si>
  <si>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</si>
  <si>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</si>
  <si>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</si>
  <si>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</si>
  <si>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</si>
  <si>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</si>
  <si>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</si>
  <si>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Term 1</t>
  </si>
  <si>
    <t xml:space="preserve">Term 2</t>
  </si>
  <si>
    <t xml:space="preserve">Term 3</t>
  </si>
  <si>
    <t xml:space="preserve">Annual Budget</t>
  </si>
  <si>
    <t xml:space="preserve">Previous Budget</t>
  </si>
  <si>
    <t xml:space="preserve">Variance</t>
  </si>
  <si>
    <t xml:space="preserve">Priority</t>
  </si>
  <si>
    <t xml:space="preserve">Funding Source</t>
  </si>
  <si>
    <t xml:space="preserve">Assumptions / Notes</t>
  </si>
  <si>
    <t xml:space="preserve">BL-001</t>
  </si>
  <si>
    <t xml:space="preserve">INCOME</t>
  </si>
  <si>
    <t xml:space="preserve">School Fees</t>
  </si>
  <si>
    <t xml:space="preserve">Monthly</t>
  </si>
  <si>
    <t xml:space="preserve">Other</t>
  </si>
  <si>
    <t xml:space="preserve">Medium</t>
  </si>
  <si>
    <t xml:space="preserve">BL-002</t>
  </si>
  <si>
    <t xml:space="preserve">Lunch</t>
  </si>
  <si>
    <t xml:space="preserve">BL-003</t>
  </si>
  <si>
    <t xml:space="preserve">Breakfast</t>
  </si>
  <si>
    <t xml:space="preserve">BL-004</t>
  </si>
  <si>
    <t xml:space="preserve">Transport</t>
  </si>
  <si>
    <t xml:space="preserve">BL-005</t>
  </si>
  <si>
    <t xml:space="preserve">Other Fees</t>
  </si>
  <si>
    <t xml:space="preserve">BL-006</t>
  </si>
  <si>
    <t xml:space="preserve">OPERATING EXPENSES</t>
  </si>
  <si>
    <t xml:space="preserve">School Materials</t>
  </si>
  <si>
    <t xml:space="preserve">BL-007</t>
  </si>
  <si>
    <t xml:space="preserve">Food Expenses</t>
  </si>
  <si>
    <t xml:space="preserve">BL-008</t>
  </si>
  <si>
    <t xml:space="preserve">Travel, Mission &amp; Transport Expenses</t>
  </si>
  <si>
    <t xml:space="preserve">BL-009</t>
  </si>
  <si>
    <t xml:space="preserve">Fuel</t>
  </si>
  <si>
    <t xml:space="preserve">BL-010</t>
  </si>
  <si>
    <t xml:space="preserve">Vehicle Maintenance</t>
  </si>
  <si>
    <t xml:space="preserve">BL-011</t>
  </si>
  <si>
    <t xml:space="preserve">Utilities (Water &amp; Electricity)</t>
  </si>
  <si>
    <t xml:space="preserve">BL-012</t>
  </si>
  <si>
    <t xml:space="preserve">Rental Expenses</t>
  </si>
  <si>
    <t xml:space="preserve">BL-013</t>
  </si>
  <si>
    <t xml:space="preserve">Insurance</t>
  </si>
  <si>
    <t xml:space="preserve">BL-014</t>
  </si>
  <si>
    <t xml:space="preserve">Taxes</t>
  </si>
  <si>
    <t xml:space="preserve">BL-015</t>
  </si>
  <si>
    <t xml:space="preserve">Communication</t>
  </si>
  <si>
    <t xml:space="preserve">BL-016</t>
  </si>
  <si>
    <t xml:space="preserve">Capacity Building</t>
  </si>
  <si>
    <t xml:space="preserve">BL-017</t>
  </si>
  <si>
    <t xml:space="preserve">Audit Fees</t>
  </si>
  <si>
    <t xml:space="preserve">BL-018</t>
  </si>
  <si>
    <t xml:space="preserve">Rehabilitation &amp; Maintenance</t>
  </si>
  <si>
    <t xml:space="preserve">BL-019</t>
  </si>
  <si>
    <t xml:space="preserve">Donation</t>
  </si>
  <si>
    <t xml:space="preserve">BL-020</t>
  </si>
  <si>
    <t xml:space="preserve">First Aid &amp; Hygiene</t>
  </si>
  <si>
    <t xml:space="preserve">BL-021</t>
  </si>
  <si>
    <t xml:space="preserve">Fines &amp; Penalties</t>
  </si>
  <si>
    <t xml:space="preserve">BL-022</t>
  </si>
  <si>
    <t xml:space="preserve">Payables</t>
  </si>
  <si>
    <t xml:space="preserve">BL-023</t>
  </si>
  <si>
    <t xml:space="preserve">ADMINISTRATIVE COSTS</t>
  </si>
  <si>
    <t xml:space="preserve">Staff Salaries</t>
  </si>
  <si>
    <t xml:space="preserve">BL-024</t>
  </si>
  <si>
    <t xml:space="preserve">RSSB Contributions</t>
  </si>
  <si>
    <t xml:space="preserve">BL-025</t>
  </si>
  <si>
    <t xml:space="preserve">Marketing, Meetings, Conferences &amp; Rewards</t>
  </si>
  <si>
    <t xml:space="preserve">BL-026</t>
  </si>
  <si>
    <t xml:space="preserve">FINANCE COSTS</t>
  </si>
  <si>
    <t xml:space="preserve">Bank Loan Payments</t>
  </si>
  <si>
    <t xml:space="preserve">BL-027</t>
  </si>
  <si>
    <t xml:space="preserve">Bank Charges &amp; Account Maintenance Fees</t>
  </si>
  <si>
    <t xml:space="preserve">BL-028</t>
  </si>
  <si>
    <t xml:space="preserve">BL-029</t>
  </si>
  <si>
    <t xml:space="preserve">BL-030</t>
  </si>
  <si>
    <t xml:space="preserve">BL-031</t>
  </si>
  <si>
    <t xml:space="preserve">BL-032</t>
  </si>
  <si>
    <t xml:space="preserve">BL-033</t>
  </si>
  <si>
    <t xml:space="preserve">BL-034</t>
  </si>
  <si>
    <t xml:space="preserve">BL-035</t>
  </si>
  <si>
    <t xml:space="preserve">TOTAL INCOME</t>
  </si>
  <si>
    <t xml:space="preserve">TOTAL OPERATING EXPENSES</t>
  </si>
  <si>
    <t xml:space="preserve">TOTAL ADMINISTRATIVE COSTS</t>
  </si>
  <si>
    <t xml:space="preserve">TOTAL FINANCE COSTS</t>
  </si>
  <si>
    <t xml:space="preserve">TOTAL EXPENSES</t>
  </si>
  <si>
    <t xml:space="preserve">BUDGET SURPLUS / (DEFICIT)</t>
  </si>
  <si>
    <t xml:space="preserve">MONTHLY CASH FLOW FORECAST</t>
  </si>
  <si>
    <t xml:space="preserve">Cash Flow Item</t>
  </si>
  <si>
    <t xml:space="preserve">Annual Total</t>
  </si>
  <si>
    <t xml:space="preserve">% of Total</t>
  </si>
  <si>
    <t xml:space="preserve">Cash Inflows</t>
  </si>
  <si>
    <t xml:space="preserve">TOTAL CASH INFLOWS</t>
  </si>
  <si>
    <t xml:space="preserve">Cash Outflows</t>
  </si>
  <si>
    <t xml:space="preserve">Operating Expenses</t>
  </si>
  <si>
    <t xml:space="preserve">Administrative Costs</t>
  </si>
  <si>
    <t xml:space="preserve">Finance Costs</t>
  </si>
  <si>
    <t xml:space="preserve">TOTAL CASH OUTFLOWS</t>
  </si>
  <si>
    <t xml:space="preserve">NET CASH FLOW</t>
  </si>
  <si>
    <t xml:space="preserve">Opening Cash Balance</t>
  </si>
  <si>
    <t xml:space="preserve">Closing Cash Balance</t>
  </si>
  <si>
    <t xml:space="preserve">SURPLUS / (SHORTFALL) VS BUFFER</t>
  </si>
  <si>
    <t xml:space="preserve">MANAGEMENT BUDGET DASHBOARD</t>
  </si>
  <si>
    <t xml:space="preserve">Total Income</t>
  </si>
  <si>
    <t xml:space="preserve">Total Expenses</t>
  </si>
  <si>
    <t xml:space="preserve">Surplus / (Deficit)</t>
  </si>
  <si>
    <t xml:space="preserve">Expense Coverage</t>
  </si>
  <si>
    <t xml:space="preserve">BUDGET BY SECTION</t>
  </si>
  <si>
    <t xml:space="preserve">MONTHLY NET CASH FLOW</t>
  </si>
  <si>
    <t xml:space="preserve">Net Cash Flow</t>
  </si>
  <si>
    <t xml:space="preserve">MANAGEMENT REVIEW CHECKLIST</t>
  </si>
  <si>
    <t xml:space="preserve">☐</t>
  </si>
  <si>
    <t xml:space="preserve">Budget balances or explains deficit</t>
  </si>
  <si>
    <t xml:space="preserve">Owner</t>
  </si>
  <si>
    <t xml:space="preserve">Due Date</t>
  </si>
  <si>
    <t xml:space="preserve">High-priority items are funded</t>
  </si>
  <si>
    <t xml:space="preserve">Monthly cash shortfalls have mitigation plans</t>
  </si>
  <si>
    <t xml:space="preserve">All material variances are explained</t>
  </si>
  <si>
    <t xml:space="preserve">Procurement-sensitive items include assumptions</t>
  </si>
  <si>
    <t xml:space="preserve">Budget Manager reviewed availability rules</t>
  </si>
  <si>
    <t xml:space="preserve">Deputy Director approval is documented</t>
  </si>
  <si>
    <t xml:space="preserve">SYSTEM IMPORT TEMPLATE – BUDGET MASTER DATA</t>
  </si>
  <si>
    <t xml:space="preserve">Use this clean table for uploading into School Settings. Do not modify header names after integration mapping is completed.</t>
  </si>
  <si>
    <t xml:space="preserve">template_version</t>
  </si>
  <si>
    <t xml:space="preserve">branch</t>
  </si>
  <si>
    <t xml:space="preserve">budget_year</t>
  </si>
  <si>
    <t xml:space="preserve">period</t>
  </si>
  <si>
    <t xml:space="preserve">line_id</t>
  </si>
  <si>
    <t xml:space="preserve">section</t>
  </si>
  <si>
    <t xml:space="preserve">category</t>
  </si>
  <si>
    <t xml:space="preserve">subcategory</t>
  </si>
  <si>
    <t xml:space="preserve">account_code</t>
  </si>
  <si>
    <t xml:space="preserve">calculation_mode</t>
  </si>
  <si>
    <t xml:space="preserve">quantity</t>
  </si>
  <si>
    <t xml:space="preserve">unit</t>
  </si>
  <si>
    <t xml:space="preserve">unit_cost</t>
  </si>
  <si>
    <t xml:space="preserve">frequency</t>
  </si>
  <si>
    <t xml:space="preserve">annual_amount</t>
  </si>
  <si>
    <t xml:space="preserve">priority</t>
  </si>
  <si>
    <t xml:space="preserve">funding_source</t>
  </si>
  <si>
    <t xml:space="preserve">notes</t>
  </si>
  <si>
    <t xml:space="preserve">Branches</t>
  </si>
  <si>
    <t xml:space="preserve">Budget Years</t>
  </si>
  <si>
    <t xml:space="preserve">Budget Periods</t>
  </si>
  <si>
    <t xml:space="preserve">Currencies</t>
  </si>
  <si>
    <t xml:space="preserve">Calculation Modes</t>
  </si>
  <si>
    <t xml:space="preserve">Priorities</t>
  </si>
  <si>
    <t xml:space="preserve">Funding Sources</t>
  </si>
  <si>
    <t xml:space="preserve">Statuses</t>
  </si>
  <si>
    <t xml:space="preserve">Units</t>
  </si>
  <si>
    <t xml:space="preserve">Request Statuses</t>
  </si>
  <si>
    <t xml:space="preserve">Sections</t>
  </si>
  <si>
    <t xml:space="preserve">Line Types</t>
  </si>
  <si>
    <t xml:space="preserve">2026</t>
  </si>
  <si>
    <t xml:space="preserve">Critical</t>
  </si>
  <si>
    <t xml:space="preserve">Student</t>
  </si>
  <si>
    <t xml:space="preserve">Operating Income</t>
  </si>
  <si>
    <t xml:space="preserve">System Approval</t>
  </si>
  <si>
    <t xml:space="preserve">Nyabihu</t>
  </si>
  <si>
    <t xml:space="preserve">USD</t>
  </si>
  <si>
    <t xml:space="preserve">Unit-based</t>
  </si>
  <si>
    <t xml:space="preserve">High</t>
  </si>
  <si>
    <t xml:space="preserve">Government Grant</t>
  </si>
  <si>
    <t xml:space="preserve">Submitted</t>
  </si>
  <si>
    <t xml:space="preserve">Meal</t>
  </si>
  <si>
    <t xml:space="preserve">Operating Expense</t>
  </si>
  <si>
    <t xml:space="preserve">Rubavu</t>
  </si>
  <si>
    <t xml:space="preserve">2028</t>
  </si>
  <si>
    <t xml:space="preserve">EUR</t>
  </si>
  <si>
    <t xml:space="preserve">Manual Annual</t>
  </si>
  <si>
    <t xml:space="preserve">Returned</t>
  </si>
  <si>
    <t xml:space="preserve">Trip</t>
  </si>
  <si>
    <t xml:space="preserve">Procurement Approved</t>
  </si>
  <si>
    <t xml:space="preserve">Administrative Expense</t>
  </si>
  <si>
    <t xml:space="preserve">Runda</t>
  </si>
  <si>
    <t xml:space="preserve">2029</t>
  </si>
  <si>
    <t xml:space="preserve">Low</t>
  </si>
  <si>
    <t xml:space="preserve">Loan</t>
  </si>
  <si>
    <t xml:space="preserve">Approved</t>
  </si>
  <si>
    <t xml:space="preserve">Litre</t>
  </si>
  <si>
    <t xml:space="preserve">Budget Approved</t>
  </si>
  <si>
    <t xml:space="preserve">Finance Cost</t>
  </si>
  <si>
    <t xml:space="preserve">Nyamasheke</t>
  </si>
  <si>
    <t xml:space="preserve">2030</t>
  </si>
  <si>
    <t xml:space="preserve">Rejected</t>
  </si>
  <si>
    <t xml:space="preserve">Month</t>
  </si>
  <si>
    <t xml:space="preserve">Finance Authorized</t>
  </si>
  <si>
    <t xml:space="preserve">Rubengera</t>
  </si>
  <si>
    <t xml:space="preserve">Quarterly</t>
  </si>
  <si>
    <t xml:space="preserve">Superseded</t>
  </si>
  <si>
    <t xml:space="preserve">Term</t>
  </si>
  <si>
    <t xml:space="preserve">Partially Paid</t>
  </si>
  <si>
    <t xml:space="preserve">Fumbwe</t>
  </si>
  <si>
    <t xml:space="preserve">Item</t>
  </si>
  <si>
    <t xml:space="preserve">Paid</t>
  </si>
  <si>
    <t xml:space="preserve">Kayonza</t>
  </si>
  <si>
    <t xml:space="preserve">Package</t>
  </si>
  <si>
    <t xml:space="preserve">Receipt Confirmed</t>
  </si>
  <si>
    <t xml:space="preserve">Kiramuruzi</t>
  </si>
  <si>
    <t xml:space="preserve">Service</t>
  </si>
  <si>
    <t xml:space="preserve">Closed</t>
  </si>
  <si>
    <t xml:space="preserve">Muyumbu</t>
  </si>
  <si>
    <t xml:space="preserve">Employee</t>
  </si>
  <si>
    <t xml:space="preserve">Susa</t>
  </si>
  <si>
    <t xml:space="preserve">Vehicle</t>
  </si>
  <si>
    <t xml:space="preserve">Kanzenze</t>
  </si>
  <si>
    <t xml:space="preserve">Building</t>
  </si>
  <si>
    <t xml:space="preserve">Cancelled</t>
  </si>
  <si>
    <t xml:space="preserve">Burera</t>
  </si>
  <si>
    <t xml:space="preserve">Ngororero</t>
  </si>
  <si>
    <t xml:space="preserve">Kabarore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</si>
</sst>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;[RED]\(#,##0\);\-"/>
    <numFmt numFmtId="167" formatCode="0.0%"/>
    <numFmt numFmtId="168" formatCode="0.0%;[RED]\(0.0%\);\-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7030A0"/>
      <name val="Cambria"/>
      <family val="0"/>
      <charset val="1"/>
    </font>
    <font>
      <b val="true"/>
      <sz val="11"/>
      <color rgb="FF123B6D"/>
      <name val="Cambria"/>
      <family val="0"/>
      <charset val="1"/>
    </font>
    <font>
      <sz val="11"/>
      <color rgb="FF666666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666666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6"/>
      <color rgb="FF000000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E67E00"/>
      <name val="Cambria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23B6D"/>
        <bgColor rgb="FF1F4E78"/>
      </patternFill>
    </fill>
    <fill>
      <patternFill patternType="solid">
        <fgColor rgb="FF0F6B78"/>
        <bgColor rgb="FF008080"/>
      </patternFill>
    </fill>
    <fill>
      <patternFill patternType="solid">
        <fgColor rgb="FF1F4E78"/>
        <bgColor rgb="FF123B6D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9F9F9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D9D9D9"/>
      </patternFill>
    </fill>
    <fill>
      <patternFill patternType="solid">
        <fgColor rgb="FFE4DFEC"/>
        <bgColor rgb="FFE7E6E6"/>
      </patternFill>
    </fill>
    <fill>
      <patternFill patternType="solid">
        <fgColor rgb="FFD9EAF7"/>
        <bgColor rgb="FFE7E6E6"/>
      </patternFill>
    </fill>
    <fill>
      <patternFill patternType="solid">
        <fgColor rgb="FFE2F0D9"/>
        <bgColor rgb="FFE7E6E6"/>
      </patternFill>
    </fill>
    <fill>
      <patternFill patternType="solid">
        <fgColor rgb="FFE7E6E6"/>
        <bgColor rgb="FFE4DFE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medium">
        <color rgb="FF123B6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7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23B6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ont>
        <b val="1"/>
        <color rgb="FFC00000"/>
      </font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B7B7B7"/>
      <rgbColor rgb="FF878787"/>
      <rgbColor rgb="FF9999FF"/>
      <rgbColor rgb="FF7030A0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FCE4D6"/>
      <rgbColor rgb="FFE4DFEC"/>
      <rgbColor rgb="FFE7E6E6"/>
      <rgbColor rgb="FFCC99FF"/>
      <rgbColor rgb="FFF4CCCC"/>
      <rgbColor rgb="FF4F81BD"/>
      <rgbColor rgb="FF33CCCC"/>
      <rgbColor rgb="FF98B855"/>
      <rgbColor rgb="FFFFCC00"/>
      <rgbColor rgb="FFFF9900"/>
      <rgbColor rgb="FFE67E00"/>
      <rgbColor rgb="FF666666"/>
      <rgbColor rgb="FF969696"/>
      <rgbColor rgb="FF123B6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Annual Budget by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BUDGET_SUMMARY!B9</c:f>
              <c:strCache>
                <c:ptCount val="1"/>
                <c:pt idx="0">
                  <c:v>Annual Budget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BUDGET_SUMMARY!$A$10:$A$13</c:f>
              <c:strCache>
                <c:ptCount val="4"/>
                <c:pt idx="0">
                  <c:v>INCOME</c:v>
                </c:pt>
                <c:pt idx="1">
                  <c:v>OPERATING EXPENSES</c:v>
                </c:pt>
                <c:pt idx="2">
                  <c:v>ADMINISTRATIVE COSTS</c:v>
                </c:pt>
                <c:pt idx="3">
                  <c:v>FINANCE COSTS</c:v>
                </c:pt>
              </c:strCache>
            </c:strRef>
          </c:cat>
          <c:val>
            <c:numRef>
              <c:f>BUDGET_SUMMARY!$B$10:$B$13</c:f>
              <c:numCache>
                <c:formatCode>#,##0;[RED]\(#,##0\);\-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85580289"/>
        <c:axId val="12446801"/>
      </c:barChart>
      <c:catAx>
        <c:axId val="855802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Section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446801"/>
        <c:crosses val="autoZero"/>
        <c:auto val="1"/>
        <c:lblAlgn val="ctr"/>
        <c:lblOffset val="100"/>
        <c:noMultiLvlLbl val="0"/>
      </c:catAx>
      <c:valAx>
        <c:axId val="124468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5802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Net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BUDGET_SUMMARY!$B$17:$M$17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BUDGET_SUMMARY!$B$18:$M$18</c:f>
              <c:numCache>
                <c:formatCode>#,##0;[RED]\(#,##0\);\-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084377"/>
        <c:axId val="61670007"/>
      </c:lineChart>
      <c:catAx>
        <c:axId val="270843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670007"/>
        <c:crosses val="autoZero"/>
        <c:auto val="1"/>
        <c:lblAlgn val="ctr"/>
        <c:lblOffset val="100"/>
        <c:noMultiLvlLbl val="0"/>
      </c:catAx>
      <c:valAx>
        <c:axId val="61670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[RED]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0843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7</xdr:row>
      <xdr:rowOff>0</xdr:rowOff>
    </xdr:from>
    <xdr:to>
      <xdr:col>10</xdr:col>
      <xdr:colOff>654480</xdr:colOff>
      <xdr:row>19</xdr:row>
      <xdr:rowOff>61920</xdr:rowOff>
    </xdr:to>
    <xdr:graphicFrame>
      <xdr:nvGraphicFramePr>
        <xdr:cNvPr id="0" name="Chart 1"/>
        <xdr:cNvGraphicFramePr/>
      </xdr:nvGraphicFramePr>
      <xdr:xfrm>
        <a:off x="7894440" y="15238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20</xdr:row>
      <xdr:rowOff>0</xdr:rowOff>
    </xdr:from>
    <xdr:to>
      <xdr:col>4</xdr:col>
      <xdr:colOff>1263600</xdr:colOff>
      <xdr:row>33</xdr:row>
      <xdr:rowOff>43200</xdr:rowOff>
    </xdr:to>
    <xdr:graphicFrame>
      <xdr:nvGraphicFramePr>
        <xdr:cNvPr id="1" name="Chart 2"/>
        <xdr:cNvGraphicFramePr/>
      </xdr:nvGraphicFramePr>
      <xdr:xfrm>
        <a:off x="0" y="417204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udgetImportTable" displayName="BudgetImportTable" ref="A5:R32" headerRowCount="1" totalsRowCount="0" totalsRowShown="0">
  <autoFilter ref="A5:R32"/>
  <tableColumns count="18">
    <tableColumn id="1" name="template_version"/>
    <tableColumn id="2" name="branch"/>
    <tableColumn id="3" name="budget_year"/>
    <tableColumn id="4" name="period"/>
    <tableColumn id="5" name="line_id"/>
    <tableColumn id="6" name="section"/>
    <tableColumn id="7" name="category"/>
    <tableColumn id="8" name="subcategory"/>
    <tableColumn id="9" name="account_code"/>
    <tableColumn id="10" name="calculation_mode"/>
    <tableColumn id="11" name="quantity"/>
    <tableColumn id="12" name="unit"/>
    <tableColumn id="13" name="unit_cost"/>
    <tableColumn id="14" name="frequency"/>
    <tableColumn id="15" name="annual_amount"/>
    <tableColumn id="16" name="priority"/>
    <tableColumn id="17" name="funding_source"/>
    <tableColumn id="18" name="not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7" customFormat="false" ht="21.75" hidden="false" customHeight="true" outlineLevel="0" collapsed="false">
      <c r="A7" s="4" t="s">
        <v>3</v>
      </c>
      <c r="B7" s="4"/>
      <c r="C7" s="4"/>
      <c r="D7" s="4"/>
      <c r="E7" s="4"/>
      <c r="F7" s="4"/>
      <c r="G7" s="4"/>
      <c r="H7" s="4"/>
    </row>
    <row r="8" customFormat="false" ht="24" hidden="false" customHeight="true" outlineLevel="0" collapsed="false">
      <c r="A8" s="5" t="s">
        <v>4</v>
      </c>
      <c r="B8" s="5"/>
      <c r="C8" s="5"/>
      <c r="D8" s="5"/>
      <c r="E8" s="5"/>
      <c r="F8" s="5"/>
      <c r="G8" s="5"/>
      <c r="H8" s="5"/>
    </row>
    <row r="9" customFormat="false" ht="24" hidden="false" customHeight="true" outlineLevel="0" collapsed="false">
      <c r="A9" s="5" t="s">
        <v>5</v>
      </c>
      <c r="B9" s="5"/>
      <c r="C9" s="5"/>
      <c r="D9" s="5"/>
      <c r="E9" s="5"/>
      <c r="F9" s="5"/>
      <c r="G9" s="5"/>
      <c r="H9" s="5"/>
    </row>
    <row r="10" customFormat="false" ht="24" hidden="false" customHeight="true" outlineLevel="0" collapsed="false">
      <c r="A10" s="5" t="s">
        <v>6</v>
      </c>
      <c r="B10" s="5"/>
      <c r="C10" s="5"/>
      <c r="D10" s="5"/>
      <c r="E10" s="5"/>
      <c r="F10" s="5"/>
      <c r="G10" s="5"/>
      <c r="H10" s="5"/>
    </row>
    <row r="11" customFormat="false" ht="24" hidden="false" customHeight="true" outlineLevel="0" collapsed="false">
      <c r="A11" s="5" t="s">
        <v>7</v>
      </c>
      <c r="B11" s="5"/>
      <c r="C11" s="5"/>
      <c r="D11" s="5"/>
      <c r="E11" s="5"/>
      <c r="F11" s="5"/>
      <c r="G11" s="5"/>
      <c r="H11" s="5"/>
    </row>
    <row r="12" customFormat="false" ht="24" hidden="false" customHeight="true" outlineLevel="0" collapsed="false">
      <c r="A12" s="5" t="s">
        <v>8</v>
      </c>
      <c r="B12" s="5"/>
      <c r="C12" s="5"/>
      <c r="D12" s="5"/>
      <c r="E12" s="5"/>
      <c r="F12" s="5"/>
      <c r="G12" s="5"/>
      <c r="H12" s="5"/>
    </row>
    <row r="13" customFormat="false" ht="24" hidden="false" customHeight="true" outlineLevel="0" collapsed="false">
      <c r="A13" s="5" t="s">
        <v>9</v>
      </c>
      <c r="B13" s="5"/>
      <c r="C13" s="5"/>
      <c r="D13" s="5"/>
      <c r="E13" s="5"/>
      <c r="F13" s="5"/>
      <c r="G13" s="5"/>
      <c r="H13" s="5"/>
    </row>
    <row r="14" customFormat="false" ht="24" hidden="false" customHeight="true" outlineLevel="0" collapsed="false">
      <c r="A14" s="5" t="s">
        <v>10</v>
      </c>
      <c r="B14" s="5"/>
      <c r="C14" s="5"/>
      <c r="D14" s="5"/>
      <c r="E14" s="5"/>
      <c r="F14" s="5"/>
      <c r="G14" s="5"/>
      <c r="H14" s="5"/>
    </row>
    <row r="17" customFormat="false" ht="21.75" hidden="false" customHeight="true" outlineLevel="0" collapsed="false">
      <c r="A17" s="4" t="s">
        <v>11</v>
      </c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6" t="s">
        <v>12</v>
      </c>
      <c r="B18" s="7" t="s">
        <v>13</v>
      </c>
      <c r="C18" s="7"/>
      <c r="D18" s="7"/>
      <c r="E18" s="7"/>
      <c r="F18" s="7"/>
      <c r="G18" s="7"/>
      <c r="H18" s="7"/>
    </row>
    <row r="19" customFormat="false" ht="15" hidden="false" customHeight="false" outlineLevel="0" collapsed="false">
      <c r="A19" s="8" t="s">
        <v>14</v>
      </c>
      <c r="B19" s="7" t="s">
        <v>15</v>
      </c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9" t="s">
        <v>16</v>
      </c>
      <c r="B20" s="7" t="s">
        <v>17</v>
      </c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10" t="s">
        <v>18</v>
      </c>
      <c r="B21" s="7" t="s">
        <v>19</v>
      </c>
      <c r="C21" s="7"/>
      <c r="D21" s="7"/>
      <c r="E21" s="7"/>
      <c r="F21" s="7"/>
      <c r="G21" s="7"/>
      <c r="H21" s="7"/>
    </row>
    <row r="22" customFormat="false" ht="15" hidden="false" customHeight="false" outlineLevel="0" collapsed="false">
      <c r="A22" s="11" t="s">
        <v>20</v>
      </c>
      <c r="B22" s="7" t="s">
        <v>21</v>
      </c>
      <c r="C22" s="7"/>
      <c r="D22" s="7"/>
      <c r="E22" s="7"/>
      <c r="F22" s="7"/>
      <c r="G22" s="7"/>
      <c r="H22" s="7"/>
    </row>
    <row r="23" customFormat="false" ht="15" hidden="false" customHeight="false" outlineLevel="0" collapsed="false">
      <c r="A23" s="12" t="s">
        <v>22</v>
      </c>
      <c r="B23" s="7" t="s">
        <v>23</v>
      </c>
      <c r="C23" s="7"/>
      <c r="D23" s="7"/>
      <c r="E23" s="7"/>
      <c r="F23" s="7"/>
      <c r="G23" s="7"/>
      <c r="H23" s="7"/>
    </row>
    <row r="26" customFormat="false" ht="21.75" hidden="false" customHeight="true" outlineLevel="0" collapsed="false">
      <c r="A26" s="4" t="s">
        <v>24</v>
      </c>
      <c r="B26" s="4"/>
      <c r="C26" s="4"/>
      <c r="D26" s="4"/>
      <c r="E26" s="4"/>
      <c r="F26" s="4"/>
      <c r="G26" s="4"/>
      <c r="H26" s="4"/>
    </row>
    <row r="27" customFormat="false" ht="15" hidden="false" customHeight="false" outlineLevel="0" collapsed="false">
      <c r="A27" s="7" t="s">
        <v>25</v>
      </c>
      <c r="B27" s="7"/>
      <c r="C27" s="7"/>
      <c r="D27" s="7"/>
      <c r="E27" s="7"/>
      <c r="F27" s="7"/>
      <c r="G27" s="7"/>
      <c r="H27" s="7"/>
    </row>
    <row r="28" customFormat="false" ht="15" hidden="false" customHeight="false" outlineLevel="0" collapsed="false">
      <c r="A28" s="7" t="s">
        <v>26</v>
      </c>
      <c r="B28" s="7"/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7" t="s">
        <v>27</v>
      </c>
      <c r="B29" s="7"/>
      <c r="C29" s="7"/>
      <c r="D29" s="7"/>
      <c r="E29" s="7"/>
      <c r="F29" s="7"/>
      <c r="G29" s="7"/>
      <c r="H29" s="7"/>
    </row>
    <row r="30" customFormat="false" ht="15" hidden="false" customHeight="false" outlineLevel="0" collapsed="false">
      <c r="A30" s="7" t="s">
        <v>28</v>
      </c>
      <c r="B30" s="7"/>
      <c r="C30" s="7"/>
      <c r="D30" s="7"/>
      <c r="E30" s="7"/>
      <c r="F30" s="7"/>
      <c r="G30" s="7"/>
      <c r="H30" s="7"/>
    </row>
  </sheetData>
  <mergeCells count="23">
    <mergeCell ref="A1:H1"/>
    <mergeCell ref="A3:H3"/>
    <mergeCell ref="A4:H5"/>
    <mergeCell ref="A7:H7"/>
    <mergeCell ref="A8:H8"/>
    <mergeCell ref="A9:H9"/>
    <mergeCell ref="A10:H10"/>
    <mergeCell ref="A11:H11"/>
    <mergeCell ref="A12:H12"/>
    <mergeCell ref="A13:H13"/>
    <mergeCell ref="A14:H14"/>
    <mergeCell ref="A17:H17"/>
    <mergeCell ref="B18:H18"/>
    <mergeCell ref="B19:H19"/>
    <mergeCell ref="B20:H20"/>
    <mergeCell ref="B21:H21"/>
    <mergeCell ref="B22:H22"/>
    <mergeCell ref="B23:H23"/>
    <mergeCell ref="A26:H26"/>
    <mergeCell ref="A27:H27"/>
    <mergeCell ref="A28:H28"/>
    <mergeCell ref="A29:H29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29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4" t="s">
        <v>30</v>
      </c>
      <c r="B3" s="4"/>
      <c r="C3" s="4"/>
      <c r="D3" s="4"/>
      <c r="E3" s="4"/>
      <c r="F3" s="4"/>
    </row>
    <row r="4" customFormat="false" ht="15" hidden="false" customHeight="false" outlineLevel="0" collapsed="false">
      <c r="A4" s="13" t="s">
        <v>31</v>
      </c>
      <c r="B4" s="13" t="s">
        <v>32</v>
      </c>
      <c r="C4" s="13" t="s">
        <v>33</v>
      </c>
      <c r="D4" s="13"/>
      <c r="E4" s="13"/>
      <c r="F4" s="13"/>
    </row>
    <row r="5" customFormat="false" ht="15" hidden="false" customHeight="false" outlineLevel="0" collapsed="false">
      <c r="A5" s="14" t="s">
        <v>34</v>
      </c>
      <c r="B5" s="15" t="s">
        <v>35</v>
      </c>
      <c r="C5" s="14" t="s">
        <v>36</v>
      </c>
    </row>
    <row r="6" customFormat="false" ht="15" hidden="false" customHeight="false" outlineLevel="0" collapsed="false">
      <c r="A6" s="14" t="s">
        <v>37</v>
      </c>
      <c r="B6" s="15" t="s">
        <v>38</v>
      </c>
      <c r="C6" s="14" t="s">
        <v>39</v>
      </c>
    </row>
    <row r="7" customFormat="false" ht="15" hidden="false" customHeight="false" outlineLevel="0" collapsed="false">
      <c r="A7" s="14" t="s">
        <v>40</v>
      </c>
      <c r="B7" s="15" t="s">
        <v>41</v>
      </c>
      <c r="C7" s="14" t="s">
        <v>42</v>
      </c>
    </row>
    <row r="8" customFormat="false" ht="15" hidden="false" customHeight="false" outlineLevel="0" collapsed="false">
      <c r="A8" s="14" t="s">
        <v>43</v>
      </c>
      <c r="B8" s="15" t="s">
        <v>44</v>
      </c>
      <c r="C8" s="14" t="s">
        <v>45</v>
      </c>
    </row>
    <row r="9" customFormat="false" ht="15" hidden="false" customHeight="false" outlineLevel="0" collapsed="false">
      <c r="A9" s="14" t="s">
        <v>46</v>
      </c>
      <c r="B9" s="15" t="s">
        <v>47</v>
      </c>
      <c r="C9" s="14" t="s">
        <v>48</v>
      </c>
    </row>
    <row r="10" customFormat="false" ht="15" hidden="false" customHeight="false" outlineLevel="0" collapsed="false">
      <c r="A10" s="14" t="s">
        <v>49</v>
      </c>
      <c r="B10" s="16" t="s">
        <v>50</v>
      </c>
      <c r="C10" s="14" t="s">
        <v>51</v>
      </c>
    </row>
    <row r="11" customFormat="false" ht="15" hidden="false" customHeight="false" outlineLevel="0" collapsed="false">
      <c r="A11" s="14" t="s">
        <v>52</v>
      </c>
      <c r="B11" s="16" t="s">
        <v>53</v>
      </c>
      <c r="C11" s="14" t="s">
        <v>54</v>
      </c>
    </row>
    <row r="12" customFormat="false" ht="15" hidden="false" customHeight="false" outlineLevel="0" collapsed="false">
      <c r="A12" s="14" t="s">
        <v>55</v>
      </c>
      <c r="B12" s="15" t="s">
        <v>56</v>
      </c>
      <c r="C12" s="14" t="s">
        <v>57</v>
      </c>
    </row>
    <row r="13" customFormat="false" ht="15" hidden="false" customHeight="false" outlineLevel="0" collapsed="false">
      <c r="A13" s="14" t="s">
        <v>58</v>
      </c>
      <c r="B13" s="15"/>
      <c r="C13" s="14" t="s">
        <v>59</v>
      </c>
    </row>
    <row r="14" customFormat="false" ht="15" hidden="false" customHeight="false" outlineLevel="0" collapsed="false">
      <c r="A14" s="14" t="s">
        <v>60</v>
      </c>
      <c r="B14" s="15"/>
      <c r="C14" s="14" t="s">
        <v>61</v>
      </c>
    </row>
    <row r="15" customFormat="false" ht="15" hidden="false" customHeight="false" outlineLevel="0" collapsed="false">
      <c r="A15" s="14" t="s">
        <v>62</v>
      </c>
      <c r="B15" s="15"/>
      <c r="C15" s="14" t="s">
        <v>63</v>
      </c>
    </row>
    <row r="16" customFormat="false" ht="15" hidden="false" customHeight="false" outlineLevel="0" collapsed="false">
      <c r="A16" s="14" t="s">
        <v>64</v>
      </c>
      <c r="B16" s="15"/>
      <c r="C16" s="14" t="s">
        <v>65</v>
      </c>
    </row>
    <row r="17" customFormat="false" ht="15" hidden="false" customHeight="false" outlineLevel="0" collapsed="false">
      <c r="A17" s="14" t="s">
        <v>66</v>
      </c>
      <c r="B17" s="15" t="s">
        <v>67</v>
      </c>
      <c r="C17" s="14" t="s">
        <v>68</v>
      </c>
    </row>
    <row r="18" customFormat="false" ht="15" hidden="false" customHeight="false" outlineLevel="0" collapsed="false">
      <c r="A18" s="14" t="s">
        <v>69</v>
      </c>
      <c r="B18" s="15" t="s">
        <v>70</v>
      </c>
      <c r="C18" s="14" t="s">
        <v>71</v>
      </c>
    </row>
    <row r="19" customFormat="false" ht="15" hidden="false" customHeight="false" outlineLevel="0" collapsed="false">
      <c r="A19" s="14" t="s">
        <v>72</v>
      </c>
      <c r="B19" s="15" t="s">
        <v>73</v>
      </c>
      <c r="C19" s="14" t="s">
        <v>74</v>
      </c>
    </row>
    <row r="22" customFormat="false" ht="21.75" hidden="false" customHeight="true" outlineLevel="0" collapsed="false">
      <c r="A22" s="4" t="s">
        <v>75</v>
      </c>
      <c r="B22" s="4"/>
      <c r="C22" s="4"/>
      <c r="D22" s="4"/>
      <c r="E22" s="4"/>
      <c r="F22" s="4"/>
    </row>
    <row r="23" customFormat="false" ht="15" hidden="false" customHeight="false" outlineLevel="0" collapsed="false">
      <c r="A23" s="12" t="s">
        <v>76</v>
      </c>
      <c r="B23" s="12" t="s">
        <v>32</v>
      </c>
      <c r="C23" s="12" t="s">
        <v>77</v>
      </c>
      <c r="D23" s="12" t="s">
        <v>78</v>
      </c>
      <c r="E23" s="12"/>
      <c r="F23" s="12"/>
    </row>
    <row r="24" customFormat="false" ht="15" hidden="false" customHeight="false" outlineLevel="0" collapsed="false">
      <c r="A24" s="14" t="s">
        <v>79</v>
      </c>
      <c r="B24" s="17" t="n">
        <v>0</v>
      </c>
      <c r="C24" s="14" t="s">
        <v>80</v>
      </c>
      <c r="D24" s="18"/>
    </row>
    <row r="25" customFormat="false" ht="15" hidden="false" customHeight="false" outlineLevel="0" collapsed="false">
      <c r="A25" s="14" t="s">
        <v>81</v>
      </c>
      <c r="B25" s="19" t="n">
        <v>0</v>
      </c>
      <c r="C25" s="14" t="s">
        <v>82</v>
      </c>
      <c r="D25" s="18"/>
    </row>
    <row r="26" customFormat="false" ht="15" hidden="false" customHeight="false" outlineLevel="0" collapsed="false">
      <c r="A26" s="14" t="s">
        <v>83</v>
      </c>
      <c r="B26" s="19" t="n">
        <v>0</v>
      </c>
      <c r="C26" s="14" t="s">
        <v>82</v>
      </c>
      <c r="D26" s="18"/>
    </row>
    <row r="27" customFormat="false" ht="15" hidden="false" customHeight="false" outlineLevel="0" collapsed="false">
      <c r="A27" s="14" t="s">
        <v>84</v>
      </c>
      <c r="B27" s="19" t="n">
        <v>0</v>
      </c>
      <c r="C27" s="14" t="s">
        <v>82</v>
      </c>
      <c r="D27" s="18"/>
    </row>
    <row r="28" customFormat="false" ht="15" hidden="false" customHeight="false" outlineLevel="0" collapsed="false">
      <c r="A28" s="14" t="s">
        <v>85</v>
      </c>
      <c r="B28" s="19" t="n">
        <v>0</v>
      </c>
      <c r="C28" s="14" t="s">
        <v>82</v>
      </c>
      <c r="D28" s="18"/>
    </row>
    <row r="29" customFormat="false" ht="15" hidden="false" customHeight="false" outlineLevel="0" collapsed="false">
      <c r="A29" s="14" t="s">
        <v>86</v>
      </c>
      <c r="B29" s="19" t="n">
        <v>0.03</v>
      </c>
      <c r="C29" s="14" t="s">
        <v>82</v>
      </c>
      <c r="D29" s="18"/>
    </row>
    <row r="30" customFormat="false" ht="15" hidden="false" customHeight="false" outlineLevel="0" collapsed="false">
      <c r="A30" s="14" t="s">
        <v>87</v>
      </c>
      <c r="B30" s="17" t="n">
        <v>0</v>
      </c>
      <c r="C30" s="14" t="s">
        <v>56</v>
      </c>
      <c r="D30" s="18"/>
    </row>
    <row r="31" customFormat="false" ht="15" hidden="false" customHeight="false" outlineLevel="0" collapsed="false">
      <c r="A31" s="14" t="s">
        <v>88</v>
      </c>
      <c r="B31" s="19" t="n">
        <v>0.8</v>
      </c>
      <c r="C31" s="14" t="s">
        <v>82</v>
      </c>
      <c r="D31" s="18"/>
    </row>
    <row r="32" customFormat="false" ht="15" hidden="false" customHeight="false" outlineLevel="0" collapsed="false">
      <c r="A32" s="14" t="s">
        <v>89</v>
      </c>
      <c r="B32" s="19" t="n">
        <v>0.95</v>
      </c>
      <c r="C32" s="14" t="s">
        <v>82</v>
      </c>
      <c r="D32" s="18"/>
    </row>
    <row r="35" customFormat="false" ht="21.75" hidden="false" customHeight="true" outlineLevel="0" collapsed="false">
      <c r="A35" s="4" t="s">
        <v>90</v>
      </c>
      <c r="B35" s="4"/>
      <c r="C35" s="4"/>
      <c r="D35" s="4"/>
      <c r="E35" s="4"/>
      <c r="F35" s="4"/>
    </row>
    <row r="36" customFormat="false" ht="15" hidden="false" customHeight="false" outlineLevel="0" collapsed="false">
      <c r="A36" s="13" t="s">
        <v>91</v>
      </c>
      <c r="B36" s="13" t="s">
        <v>92</v>
      </c>
      <c r="C36" s="13" t="s">
        <v>93</v>
      </c>
      <c r="D36" s="13" t="s">
        <v>94</v>
      </c>
      <c r="E36" s="13" t="s">
        <v>95</v>
      </c>
      <c r="F36" s="13" t="s">
        <v>78</v>
      </c>
    </row>
    <row r="37" customFormat="false" ht="15" hidden="false" customHeight="false" outlineLevel="0" collapsed="false">
      <c r="A37" s="0" t="s">
        <v>96</v>
      </c>
      <c r="B37" s="0" t="s">
        <v>97</v>
      </c>
      <c r="C37" s="0" t="s">
        <v>98</v>
      </c>
      <c r="D37" s="15" t="n">
        <v>2</v>
      </c>
      <c r="E37" s="15" t="s">
        <v>99</v>
      </c>
    </row>
    <row r="38" customFormat="false" ht="15" hidden="false" customHeight="false" outlineLevel="0" collapsed="false">
      <c r="A38" s="0" t="s">
        <v>100</v>
      </c>
      <c r="B38" s="0" t="s">
        <v>60</v>
      </c>
      <c r="C38" s="0" t="s">
        <v>101</v>
      </c>
      <c r="D38" s="15" t="n">
        <v>2</v>
      </c>
      <c r="E38" s="15" t="s">
        <v>99</v>
      </c>
    </row>
    <row r="39" customFormat="false" ht="15" hidden="false" customHeight="false" outlineLevel="0" collapsed="false">
      <c r="A39" s="0" t="s">
        <v>102</v>
      </c>
      <c r="B39" s="0" t="s">
        <v>103</v>
      </c>
      <c r="C39" s="0" t="s">
        <v>104</v>
      </c>
      <c r="D39" s="15" t="n">
        <v>2</v>
      </c>
      <c r="E39" s="15" t="s">
        <v>99</v>
      </c>
    </row>
    <row r="40" customFormat="false" ht="15" hidden="false" customHeight="false" outlineLevel="0" collapsed="false">
      <c r="A40" s="0" t="s">
        <v>105</v>
      </c>
      <c r="B40" s="0" t="s">
        <v>62</v>
      </c>
      <c r="C40" s="0" t="s">
        <v>106</v>
      </c>
      <c r="D40" s="15" t="n">
        <v>2</v>
      </c>
      <c r="E40" s="15" t="s">
        <v>99</v>
      </c>
    </row>
    <row r="41" customFormat="false" ht="15" hidden="false" customHeight="false" outlineLevel="0" collapsed="false">
      <c r="A41" s="0" t="s">
        <v>107</v>
      </c>
      <c r="B41" s="0" t="s">
        <v>64</v>
      </c>
      <c r="C41" s="0" t="s">
        <v>108</v>
      </c>
      <c r="D41" s="15" t="n">
        <v>2</v>
      </c>
      <c r="E41" s="15" t="s">
        <v>99</v>
      </c>
    </row>
    <row r="42" customFormat="false" ht="15" hidden="false" customHeight="false" outlineLevel="0" collapsed="false">
      <c r="A42" s="0" t="s">
        <v>109</v>
      </c>
      <c r="B42" s="0" t="s">
        <v>110</v>
      </c>
      <c r="C42" s="0" t="s">
        <v>111</v>
      </c>
      <c r="D42" s="15" t="n">
        <v>2</v>
      </c>
      <c r="E42" s="15" t="s">
        <v>99</v>
      </c>
    </row>
    <row r="43" customFormat="false" ht="15" hidden="false" customHeight="false" outlineLevel="0" collapsed="false">
      <c r="A43" s="0" t="s">
        <v>112</v>
      </c>
      <c r="B43" s="0" t="s">
        <v>97</v>
      </c>
      <c r="C43" s="0" t="s">
        <v>113</v>
      </c>
      <c r="D43" s="15" t="n">
        <v>2</v>
      </c>
      <c r="E43" s="15" t="s">
        <v>99</v>
      </c>
    </row>
  </sheetData>
  <mergeCells count="4">
    <mergeCell ref="A1:F1"/>
    <mergeCell ref="A3:F3"/>
    <mergeCell ref="A22:F22"/>
    <mergeCell ref="A35:F35"/>
  </mergeCells>
  <dataValidations count="6">
    <dataValidation allowBlank="false" errorStyle="stop" operator="between" showDropDown="false" showErrorMessage="false" showInputMessage="false" sqref="B6" type="list">
      <formula1>LISTS!$A$2:$A$16</formula1>
      <formula2>0</formula2>
    </dataValidation>
    <dataValidation allowBlank="false" errorStyle="stop" operator="between" showDropDown="false" showErrorMessage="false" showInputMessage="false" sqref="B8" type="list">
      <formula1>LISTS!$B$2:$B$6</formula1>
      <formula2>0</formula2>
    </dataValidation>
    <dataValidation allowBlank="false" errorStyle="stop" operator="between" showDropDown="false" showErrorMessage="false" showInputMessage="false" sqref="B9" type="list">
      <formula1>LISTS!$C$2:$C$7</formula1>
      <formula2>0</formula2>
    </dataValidation>
    <dataValidation allowBlank="false" errorStyle="stop" operator="between" showDropDown="false" showErrorMessage="false" showInputMessage="false" sqref="B12" type="list">
      <formula1>LISTS!$D$2:$D$4</formula1>
      <formula2>0</formula2>
    </dataValidation>
    <dataValidation allowBlank="false" errorStyle="stop" operator="between" showDropDown="false" showErrorMessage="false" showInputMessage="false" sqref="B18" type="list">
      <formula1>LISTS!$H$2:$H$7</formula1>
      <formula2>0</formula2>
    </dataValidation>
    <dataValidation allowBlank="false" errorStyle="stop" operator="between" showDropDown="false" showErrorMessage="false" showInputMessage="false" sqref="B19" type="list">
      <formula1>LISTS!$M$2:$M$3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5" topLeftCell="K6" activePane="bottomRight" state="frozen"/>
      <selection pane="topLeft" activeCell="A1" activeCellId="0" sqref="A1"/>
      <selection pane="topRight" activeCell="K1" activeCellId="0" sqref="K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22" min="11" style="0" width="12"/>
    <col collapsed="false" customWidth="true" hidden="false" outlineLevel="0" max="25" min="23" style="0" width="14"/>
    <col collapsed="false" customWidth="true" hidden="false" outlineLevel="0" max="27" min="26" style="0" width="16"/>
    <col collapsed="false" customWidth="true" hidden="false" outlineLevel="0" max="28" min="28" style="0" width="13"/>
    <col collapsed="false" customWidth="true" hidden="false" outlineLevel="0" max="29" min="29" style="0" width="12"/>
    <col collapsed="false" customWidth="true" hidden="false" outlineLevel="0" max="30" min="30" style="0" width="18"/>
    <col collapsed="false" customWidth="true" hidden="false" outlineLevel="0" max="31" min="31" style="0" width="42"/>
  </cols>
  <sheetData>
    <row r="1" customFormat="false" ht="30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3" customFormat="false" ht="15" hidden="false" customHeight="false" outlineLevel="0" collapsed="false">
      <c r="A3" s="20" t="s">
        <v>37</v>
      </c>
      <c r="B3" s="21" t="str">
        <f aca="false">SETUP!B6</f>
        <v>Musanze</v>
      </c>
      <c r="D3" s="20" t="s">
        <v>43</v>
      </c>
      <c r="E3" s="21" t="str">
        <f aca="false">SETUP!B8</f>
        <v>2027</v>
      </c>
      <c r="G3" s="20" t="s">
        <v>115</v>
      </c>
      <c r="H3" s="21" t="str">
        <f aca="false">SETUP!B9</f>
        <v>Annual</v>
      </c>
      <c r="J3" s="20" t="s">
        <v>55</v>
      </c>
      <c r="K3" s="21" t="str">
        <f aca="false">SETUP!B12</f>
        <v>RWF</v>
      </c>
      <c r="M3" s="20" t="s">
        <v>116</v>
      </c>
      <c r="N3" s="21" t="str">
        <f aca="false">SETUP!B18</f>
        <v>Draft</v>
      </c>
    </row>
    <row r="5" customFormat="false" ht="37.5" hidden="false" customHeight="true" outlineLevel="0" collapsed="false">
      <c r="A5" s="22" t="s">
        <v>117</v>
      </c>
      <c r="B5" s="22" t="s">
        <v>118</v>
      </c>
      <c r="C5" s="22" t="s">
        <v>119</v>
      </c>
      <c r="D5" s="22" t="s">
        <v>120</v>
      </c>
      <c r="E5" s="22" t="s">
        <v>121</v>
      </c>
      <c r="F5" s="22" t="s">
        <v>122</v>
      </c>
      <c r="G5" s="22" t="s">
        <v>123</v>
      </c>
      <c r="H5" s="22" t="s">
        <v>77</v>
      </c>
      <c r="I5" s="22" t="s">
        <v>124</v>
      </c>
      <c r="J5" s="22" t="s">
        <v>125</v>
      </c>
      <c r="K5" s="22" t="s">
        <v>126</v>
      </c>
      <c r="L5" s="22" t="s">
        <v>127</v>
      </c>
      <c r="M5" s="22" t="s">
        <v>128</v>
      </c>
      <c r="N5" s="22" t="s">
        <v>129</v>
      </c>
      <c r="O5" s="22" t="s">
        <v>130</v>
      </c>
      <c r="P5" s="22" t="s">
        <v>131</v>
      </c>
      <c r="Q5" s="22" t="s">
        <v>132</v>
      </c>
      <c r="R5" s="22" t="s">
        <v>133</v>
      </c>
      <c r="S5" s="22" t="s">
        <v>134</v>
      </c>
      <c r="T5" s="22" t="s">
        <v>135</v>
      </c>
      <c r="U5" s="22" t="s">
        <v>136</v>
      </c>
      <c r="V5" s="22" t="s">
        <v>137</v>
      </c>
      <c r="W5" s="22" t="s">
        <v>138</v>
      </c>
      <c r="X5" s="22" t="s">
        <v>139</v>
      </c>
      <c r="Y5" s="22" t="s">
        <v>140</v>
      </c>
      <c r="Z5" s="22" t="s">
        <v>141</v>
      </c>
      <c r="AA5" s="22" t="s">
        <v>142</v>
      </c>
      <c r="AB5" s="22" t="s">
        <v>143</v>
      </c>
      <c r="AC5" s="22" t="s">
        <v>144</v>
      </c>
      <c r="AD5" s="22" t="s">
        <v>145</v>
      </c>
      <c r="AE5" s="22" t="s">
        <v>146</v>
      </c>
    </row>
    <row r="6" customFormat="false" ht="30" hidden="false" customHeight="true" outlineLevel="0" collapsed="false">
      <c r="A6" s="23" t="s">
        <v>147</v>
      </c>
      <c r="B6" s="23" t="s">
        <v>148</v>
      </c>
      <c r="C6" s="23" t="s">
        <v>149</v>
      </c>
      <c r="D6" s="18"/>
      <c r="E6" s="18"/>
      <c r="F6" s="18" t="s">
        <v>150</v>
      </c>
      <c r="G6" s="24" t="n">
        <v>0</v>
      </c>
      <c r="H6" s="24" t="s">
        <v>151</v>
      </c>
      <c r="I6" s="24" t="n">
        <v>0</v>
      </c>
      <c r="J6" s="24" t="n">
        <v>1</v>
      </c>
      <c r="K6" s="24" t="n">
        <v>0</v>
      </c>
      <c r="L6" s="24" t="n">
        <v>0</v>
      </c>
      <c r="M6" s="24" t="n">
        <v>0</v>
      </c>
      <c r="N6" s="24" t="n">
        <v>0</v>
      </c>
      <c r="O6" s="24" t="n">
        <v>0</v>
      </c>
      <c r="P6" s="24" t="n">
        <v>0</v>
      </c>
      <c r="Q6" s="24" t="n">
        <v>0</v>
      </c>
      <c r="R6" s="24" t="n">
        <v>0</v>
      </c>
      <c r="S6" s="24" t="n">
        <v>0</v>
      </c>
      <c r="T6" s="24" t="n">
        <v>0</v>
      </c>
      <c r="U6" s="24" t="n">
        <v>0</v>
      </c>
      <c r="V6" s="24" t="n">
        <v>0</v>
      </c>
      <c r="W6" s="25" t="n">
        <f aca="false">SUM(K6:N6)</f>
        <v>0</v>
      </c>
      <c r="X6" s="25" t="n">
        <f aca="false">SUM(O6:R6)</f>
        <v>0</v>
      </c>
      <c r="Y6" s="25" t="n">
        <f aca="false">SUM(S6:V6)</f>
        <v>0</v>
      </c>
      <c r="Z6" s="25" t="n">
        <f aca="false">IF(F6="Monthly",SUM(K6:V6),IF(F6="Unit-based",G6*I6*J6,IF(F6="Manual Annual",SUM(K6:V6),0)))</f>
        <v>0</v>
      </c>
      <c r="AA6" s="24" t="n">
        <v>0</v>
      </c>
      <c r="AB6" s="26" t="n">
        <f aca="false">IFERROR((Z6-AA6)/AA6,0)</f>
        <v>0</v>
      </c>
      <c r="AC6" s="18" t="s">
        <v>152</v>
      </c>
      <c r="AD6" s="18" t="s">
        <v>149</v>
      </c>
      <c r="AE6" s="27"/>
    </row>
    <row r="7" customFormat="false" ht="30" hidden="false" customHeight="true" outlineLevel="0" collapsed="false">
      <c r="A7" s="23" t="s">
        <v>153</v>
      </c>
      <c r="B7" s="23" t="s">
        <v>148</v>
      </c>
      <c r="C7" s="23" t="s">
        <v>154</v>
      </c>
      <c r="D7" s="18"/>
      <c r="E7" s="18"/>
      <c r="F7" s="18" t="s">
        <v>150</v>
      </c>
      <c r="G7" s="24" t="n">
        <v>0</v>
      </c>
      <c r="H7" s="24" t="s">
        <v>151</v>
      </c>
      <c r="I7" s="24" t="n">
        <v>0</v>
      </c>
      <c r="J7" s="24" t="n">
        <v>1</v>
      </c>
      <c r="K7" s="24" t="n">
        <v>0</v>
      </c>
      <c r="L7" s="24" t="n">
        <v>0</v>
      </c>
      <c r="M7" s="24" t="n">
        <v>0</v>
      </c>
      <c r="N7" s="24" t="n">
        <v>0</v>
      </c>
      <c r="O7" s="24" t="n">
        <v>0</v>
      </c>
      <c r="P7" s="24" t="n">
        <v>0</v>
      </c>
      <c r="Q7" s="24" t="n">
        <v>0</v>
      </c>
      <c r="R7" s="24" t="n">
        <v>0</v>
      </c>
      <c r="S7" s="24" t="n">
        <v>0</v>
      </c>
      <c r="T7" s="24" t="n">
        <v>0</v>
      </c>
      <c r="U7" s="24" t="n">
        <v>0</v>
      </c>
      <c r="V7" s="24" t="n">
        <v>0</v>
      </c>
      <c r="W7" s="25" t="n">
        <f aca="false">SUM(K7:N7)</f>
        <v>0</v>
      </c>
      <c r="X7" s="25" t="n">
        <f aca="false">SUM(O7:R7)</f>
        <v>0</v>
      </c>
      <c r="Y7" s="25" t="n">
        <f aca="false">SUM(S7:V7)</f>
        <v>0</v>
      </c>
      <c r="Z7" s="25" t="n">
        <f aca="false">IF(F7="Monthly",SUM(K7:V7),IF(F7="Unit-based",G7*I7*J7,IF(F7="Manual Annual",SUM(K7:V7),0)))</f>
        <v>0</v>
      </c>
      <c r="AA7" s="24" t="n">
        <v>0</v>
      </c>
      <c r="AB7" s="26" t="n">
        <f aca="false">IFERROR((Z7-AA7)/AA7,0)</f>
        <v>0</v>
      </c>
      <c r="AC7" s="18" t="s">
        <v>152</v>
      </c>
      <c r="AD7" s="18" t="s">
        <v>149</v>
      </c>
      <c r="AE7" s="27"/>
    </row>
    <row r="8" customFormat="false" ht="30" hidden="false" customHeight="true" outlineLevel="0" collapsed="false">
      <c r="A8" s="23" t="s">
        <v>155</v>
      </c>
      <c r="B8" s="23" t="s">
        <v>148</v>
      </c>
      <c r="C8" s="23" t="s">
        <v>156</v>
      </c>
      <c r="D8" s="18"/>
      <c r="E8" s="18"/>
      <c r="F8" s="18" t="s">
        <v>150</v>
      </c>
      <c r="G8" s="24" t="n">
        <v>0</v>
      </c>
      <c r="H8" s="24" t="s">
        <v>151</v>
      </c>
      <c r="I8" s="24" t="n">
        <v>0</v>
      </c>
      <c r="J8" s="24" t="n">
        <v>1</v>
      </c>
      <c r="K8" s="24" t="n">
        <v>0</v>
      </c>
      <c r="L8" s="24" t="n">
        <v>0</v>
      </c>
      <c r="M8" s="24" t="n">
        <v>0</v>
      </c>
      <c r="N8" s="24" t="n">
        <v>0</v>
      </c>
      <c r="O8" s="24" t="n">
        <v>0</v>
      </c>
      <c r="P8" s="24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s="24" t="n">
        <v>0</v>
      </c>
      <c r="V8" s="24" t="n">
        <v>0</v>
      </c>
      <c r="W8" s="25" t="n">
        <f aca="false">SUM(K8:N8)</f>
        <v>0</v>
      </c>
      <c r="X8" s="25" t="n">
        <f aca="false">SUM(O8:R8)</f>
        <v>0</v>
      </c>
      <c r="Y8" s="25" t="n">
        <f aca="false">SUM(S8:V8)</f>
        <v>0</v>
      </c>
      <c r="Z8" s="25" t="n">
        <f aca="false">IF(F8="Monthly",SUM(K8:V8),IF(F8="Unit-based",G8*I8*J8,IF(F8="Manual Annual",SUM(K8:V8),0)))</f>
        <v>0</v>
      </c>
      <c r="AA8" s="24" t="n">
        <v>0</v>
      </c>
      <c r="AB8" s="26" t="n">
        <f aca="false">IFERROR((Z8-AA8)/AA8,0)</f>
        <v>0</v>
      </c>
      <c r="AC8" s="18" t="s">
        <v>152</v>
      </c>
      <c r="AD8" s="18" t="s">
        <v>149</v>
      </c>
      <c r="AE8" s="27"/>
    </row>
    <row r="9" customFormat="false" ht="30" hidden="false" customHeight="true" outlineLevel="0" collapsed="false">
      <c r="A9" s="23" t="s">
        <v>157</v>
      </c>
      <c r="B9" s="23" t="s">
        <v>148</v>
      </c>
      <c r="C9" s="23" t="s">
        <v>158</v>
      </c>
      <c r="D9" s="18"/>
      <c r="E9" s="18"/>
      <c r="F9" s="18" t="s">
        <v>150</v>
      </c>
      <c r="G9" s="24" t="n">
        <v>0</v>
      </c>
      <c r="H9" s="24" t="s">
        <v>151</v>
      </c>
      <c r="I9" s="24" t="n">
        <v>0</v>
      </c>
      <c r="J9" s="24" t="n">
        <v>1</v>
      </c>
      <c r="K9" s="24" t="n">
        <v>0</v>
      </c>
      <c r="L9" s="24" t="n">
        <v>0</v>
      </c>
      <c r="M9" s="24" t="n">
        <v>0</v>
      </c>
      <c r="N9" s="24" t="n">
        <v>0</v>
      </c>
      <c r="O9" s="24" t="n">
        <v>0</v>
      </c>
      <c r="P9" s="24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5" t="n">
        <f aca="false">SUM(K9:N9)</f>
        <v>0</v>
      </c>
      <c r="X9" s="25" t="n">
        <f aca="false">SUM(O9:R9)</f>
        <v>0</v>
      </c>
      <c r="Y9" s="25" t="n">
        <f aca="false">SUM(S9:V9)</f>
        <v>0</v>
      </c>
      <c r="Z9" s="25" t="n">
        <f aca="false">IF(F9="Monthly",SUM(K9:V9),IF(F9="Unit-based",G9*I9*J9,IF(F9="Manual Annual",SUM(K9:V9),0)))</f>
        <v>0</v>
      </c>
      <c r="AA9" s="24" t="n">
        <v>0</v>
      </c>
      <c r="AB9" s="26" t="n">
        <f aca="false">IFERROR((Z9-AA9)/AA9,0)</f>
        <v>0</v>
      </c>
      <c r="AC9" s="18" t="s">
        <v>152</v>
      </c>
      <c r="AD9" s="18" t="s">
        <v>149</v>
      </c>
      <c r="AE9" s="27"/>
    </row>
    <row r="10" customFormat="false" ht="30" hidden="false" customHeight="true" outlineLevel="0" collapsed="false">
      <c r="A10" s="23" t="s">
        <v>159</v>
      </c>
      <c r="B10" s="23" t="s">
        <v>148</v>
      </c>
      <c r="C10" s="23" t="s">
        <v>160</v>
      </c>
      <c r="D10" s="18"/>
      <c r="E10" s="18"/>
      <c r="F10" s="18" t="s">
        <v>150</v>
      </c>
      <c r="G10" s="24" t="n">
        <v>0</v>
      </c>
      <c r="H10" s="24" t="s">
        <v>151</v>
      </c>
      <c r="I10" s="24" t="n">
        <v>0</v>
      </c>
      <c r="J10" s="24" t="n">
        <v>1</v>
      </c>
      <c r="K10" s="24" t="n">
        <v>0</v>
      </c>
      <c r="L10" s="24" t="n">
        <v>0</v>
      </c>
      <c r="M10" s="24" t="n">
        <v>0</v>
      </c>
      <c r="N10" s="24" t="n">
        <v>0</v>
      </c>
      <c r="O10" s="24" t="n">
        <v>0</v>
      </c>
      <c r="P10" s="24" t="n">
        <v>0</v>
      </c>
      <c r="Q10" s="24" t="n">
        <v>0</v>
      </c>
      <c r="R10" s="24" t="n">
        <v>0</v>
      </c>
      <c r="S10" s="24" t="n">
        <v>0</v>
      </c>
      <c r="T10" s="24" t="n">
        <v>0</v>
      </c>
      <c r="U10" s="24" t="n">
        <v>0</v>
      </c>
      <c r="V10" s="24" t="n">
        <v>0</v>
      </c>
      <c r="W10" s="25" t="n">
        <f aca="false">SUM(K10:N10)</f>
        <v>0</v>
      </c>
      <c r="X10" s="25" t="n">
        <f aca="false">SUM(O10:R10)</f>
        <v>0</v>
      </c>
      <c r="Y10" s="25" t="n">
        <f aca="false">SUM(S10:V10)</f>
        <v>0</v>
      </c>
      <c r="Z10" s="25" t="n">
        <f aca="false">IF(F10="Monthly",SUM(K10:V10),IF(F10="Unit-based",G10*I10*J10,IF(F10="Manual Annual",SUM(K10:V10),0)))</f>
        <v>0</v>
      </c>
      <c r="AA10" s="24" t="n">
        <v>0</v>
      </c>
      <c r="AB10" s="26" t="n">
        <f aca="false">IFERROR((Z10-AA10)/AA10,0)</f>
        <v>0</v>
      </c>
      <c r="AC10" s="18" t="s">
        <v>152</v>
      </c>
      <c r="AD10" s="18" t="s">
        <v>149</v>
      </c>
      <c r="AE10" s="27"/>
    </row>
    <row r="11" customFormat="false" ht="30" hidden="false" customHeight="true" outlineLevel="0" collapsed="false">
      <c r="A11" s="23" t="s">
        <v>161</v>
      </c>
      <c r="B11" s="23" t="s">
        <v>162</v>
      </c>
      <c r="C11" s="23" t="s">
        <v>163</v>
      </c>
      <c r="D11" s="18"/>
      <c r="E11" s="18"/>
      <c r="F11" s="18" t="s">
        <v>150</v>
      </c>
      <c r="G11" s="24" t="n">
        <v>0</v>
      </c>
      <c r="H11" s="24" t="s">
        <v>151</v>
      </c>
      <c r="I11" s="24" t="n">
        <v>0</v>
      </c>
      <c r="J11" s="24" t="n">
        <v>1</v>
      </c>
      <c r="K11" s="24" t="n">
        <v>0</v>
      </c>
      <c r="L11" s="24" t="n">
        <v>0</v>
      </c>
      <c r="M11" s="24" t="n">
        <v>0</v>
      </c>
      <c r="N11" s="24" t="n">
        <v>0</v>
      </c>
      <c r="O11" s="24" t="n">
        <v>0</v>
      </c>
      <c r="P11" s="24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s="24" t="n">
        <v>0</v>
      </c>
      <c r="V11" s="24" t="n">
        <v>0</v>
      </c>
      <c r="W11" s="25" t="n">
        <f aca="false">SUM(K11:N11)</f>
        <v>0</v>
      </c>
      <c r="X11" s="25" t="n">
        <f aca="false">SUM(O11:R11)</f>
        <v>0</v>
      </c>
      <c r="Y11" s="25" t="n">
        <f aca="false">SUM(S11:V11)</f>
        <v>0</v>
      </c>
      <c r="Z11" s="25" t="n">
        <f aca="false">IF(F11="Monthly",SUM(K11:V11),IF(F11="Unit-based",G11*I11*J11,IF(F11="Manual Annual",SUM(K11:V11),0)))</f>
        <v>0</v>
      </c>
      <c r="AA11" s="24" t="n">
        <v>0</v>
      </c>
      <c r="AB11" s="26" t="n">
        <f aca="false">IFERROR((Z11-AA11)/AA11,0)</f>
        <v>0</v>
      </c>
      <c r="AC11" s="18" t="s">
        <v>152</v>
      </c>
      <c r="AD11" s="18" t="s">
        <v>149</v>
      </c>
      <c r="AE11" s="27"/>
    </row>
    <row r="12" customFormat="false" ht="30" hidden="false" customHeight="true" outlineLevel="0" collapsed="false">
      <c r="A12" s="23" t="s">
        <v>164</v>
      </c>
      <c r="B12" s="23" t="s">
        <v>162</v>
      </c>
      <c r="C12" s="23" t="s">
        <v>165</v>
      </c>
      <c r="D12" s="18"/>
      <c r="E12" s="18"/>
      <c r="F12" s="18" t="s">
        <v>150</v>
      </c>
      <c r="G12" s="24" t="n">
        <v>0</v>
      </c>
      <c r="H12" s="24" t="s">
        <v>151</v>
      </c>
      <c r="I12" s="24" t="n">
        <v>0</v>
      </c>
      <c r="J12" s="24" t="n">
        <v>1</v>
      </c>
      <c r="K12" s="24" t="n">
        <v>0</v>
      </c>
      <c r="L12" s="24" t="n">
        <v>0</v>
      </c>
      <c r="M12" s="24" t="n">
        <v>0</v>
      </c>
      <c r="N12" s="24" t="n">
        <v>0</v>
      </c>
      <c r="O12" s="24" t="n">
        <v>0</v>
      </c>
      <c r="P12" s="24" t="n">
        <v>0</v>
      </c>
      <c r="Q12" s="24" t="n">
        <v>0</v>
      </c>
      <c r="R12" s="24" t="n">
        <v>0</v>
      </c>
      <c r="S12" s="24" t="n">
        <v>0</v>
      </c>
      <c r="T12" s="24" t="n">
        <v>0</v>
      </c>
      <c r="U12" s="24" t="n">
        <v>0</v>
      </c>
      <c r="V12" s="24" t="n">
        <v>0</v>
      </c>
      <c r="W12" s="25" t="n">
        <f aca="false">SUM(K12:N12)</f>
        <v>0</v>
      </c>
      <c r="X12" s="25" t="n">
        <f aca="false">SUM(O12:R12)</f>
        <v>0</v>
      </c>
      <c r="Y12" s="25" t="n">
        <f aca="false">SUM(S12:V12)</f>
        <v>0</v>
      </c>
      <c r="Z12" s="25" t="n">
        <f aca="false">IF(F12="Monthly",SUM(K12:V12),IF(F12="Unit-based",G12*I12*J12,IF(F12="Manual Annual",SUM(K12:V12),0)))</f>
        <v>0</v>
      </c>
      <c r="AA12" s="24" t="n">
        <v>0</v>
      </c>
      <c r="AB12" s="26" t="n">
        <f aca="false">IFERROR((Z12-AA12)/AA12,0)</f>
        <v>0</v>
      </c>
      <c r="AC12" s="18" t="s">
        <v>152</v>
      </c>
      <c r="AD12" s="18" t="s">
        <v>149</v>
      </c>
      <c r="AE12" s="27"/>
    </row>
    <row r="13" customFormat="false" ht="30" hidden="false" customHeight="true" outlineLevel="0" collapsed="false">
      <c r="A13" s="23" t="s">
        <v>166</v>
      </c>
      <c r="B13" s="23" t="s">
        <v>162</v>
      </c>
      <c r="C13" s="23" t="s">
        <v>167</v>
      </c>
      <c r="D13" s="18"/>
      <c r="E13" s="18"/>
      <c r="F13" s="18" t="s">
        <v>150</v>
      </c>
      <c r="G13" s="24" t="n">
        <v>0</v>
      </c>
      <c r="H13" s="24" t="s">
        <v>151</v>
      </c>
      <c r="I13" s="24" t="n">
        <v>0</v>
      </c>
      <c r="J13" s="24" t="n">
        <v>1</v>
      </c>
      <c r="K13" s="24" t="n">
        <v>0</v>
      </c>
      <c r="L13" s="24" t="n">
        <v>0</v>
      </c>
      <c r="M13" s="24" t="n">
        <v>0</v>
      </c>
      <c r="N13" s="24" t="n">
        <v>0</v>
      </c>
      <c r="O13" s="24" t="n">
        <v>0</v>
      </c>
      <c r="P13" s="24" t="n">
        <v>0</v>
      </c>
      <c r="Q13" s="24" t="n">
        <v>0</v>
      </c>
      <c r="R13" s="24" t="n">
        <v>0</v>
      </c>
      <c r="S13" s="24" t="n">
        <v>0</v>
      </c>
      <c r="T13" s="24" t="n">
        <v>0</v>
      </c>
      <c r="U13" s="24" t="n">
        <v>0</v>
      </c>
      <c r="V13" s="24" t="n">
        <v>0</v>
      </c>
      <c r="W13" s="25" t="n">
        <f aca="false">SUM(K13:N13)</f>
        <v>0</v>
      </c>
      <c r="X13" s="25" t="n">
        <f aca="false">SUM(O13:R13)</f>
        <v>0</v>
      </c>
      <c r="Y13" s="25" t="n">
        <f aca="false">SUM(S13:V13)</f>
        <v>0</v>
      </c>
      <c r="Z13" s="25" t="n">
        <f aca="false">IF(F13="Monthly",SUM(K13:V13),IF(F13="Unit-based",G13*I13*J13,IF(F13="Manual Annual",SUM(K13:V13),0)))</f>
        <v>0</v>
      </c>
      <c r="AA13" s="24" t="n">
        <v>0</v>
      </c>
      <c r="AB13" s="26" t="n">
        <f aca="false">IFERROR((Z13-AA13)/AA13,0)</f>
        <v>0</v>
      </c>
      <c r="AC13" s="18" t="s">
        <v>152</v>
      </c>
      <c r="AD13" s="18" t="s">
        <v>149</v>
      </c>
      <c r="AE13" s="27"/>
    </row>
    <row r="14" customFormat="false" ht="30" hidden="false" customHeight="true" outlineLevel="0" collapsed="false">
      <c r="A14" s="23" t="s">
        <v>168</v>
      </c>
      <c r="B14" s="23" t="s">
        <v>162</v>
      </c>
      <c r="C14" s="23" t="s">
        <v>169</v>
      </c>
      <c r="D14" s="18"/>
      <c r="E14" s="18"/>
      <c r="F14" s="18" t="s">
        <v>150</v>
      </c>
      <c r="G14" s="24" t="n">
        <v>0</v>
      </c>
      <c r="H14" s="24" t="s">
        <v>151</v>
      </c>
      <c r="I14" s="24" t="n">
        <v>0</v>
      </c>
      <c r="J14" s="24" t="n">
        <v>1</v>
      </c>
      <c r="K14" s="24" t="n">
        <v>0</v>
      </c>
      <c r="L14" s="24" t="n">
        <v>0</v>
      </c>
      <c r="M14" s="24" t="n">
        <v>0</v>
      </c>
      <c r="N14" s="24" t="n">
        <v>0</v>
      </c>
      <c r="O14" s="24" t="n">
        <v>0</v>
      </c>
      <c r="P14" s="24" t="n">
        <v>0</v>
      </c>
      <c r="Q14" s="24" t="n">
        <v>0</v>
      </c>
      <c r="R14" s="24" t="n">
        <v>0</v>
      </c>
      <c r="S14" s="24" t="n">
        <v>0</v>
      </c>
      <c r="T14" s="24" t="n">
        <v>0</v>
      </c>
      <c r="U14" s="24" t="n">
        <v>0</v>
      </c>
      <c r="V14" s="24" t="n">
        <v>0</v>
      </c>
      <c r="W14" s="25" t="n">
        <f aca="false">SUM(K14:N14)</f>
        <v>0</v>
      </c>
      <c r="X14" s="25" t="n">
        <f aca="false">SUM(O14:R14)</f>
        <v>0</v>
      </c>
      <c r="Y14" s="25" t="n">
        <f aca="false">SUM(S14:V14)</f>
        <v>0</v>
      </c>
      <c r="Z14" s="25" t="n">
        <f aca="false">IF(F14="Monthly",SUM(K14:V14),IF(F14="Unit-based",G14*I14*J14,IF(F14="Manual Annual",SUM(K14:V14),0)))</f>
        <v>0</v>
      </c>
      <c r="AA14" s="24" t="n">
        <v>0</v>
      </c>
      <c r="AB14" s="26" t="n">
        <f aca="false">IFERROR((Z14-AA14)/AA14,0)</f>
        <v>0</v>
      </c>
      <c r="AC14" s="18" t="s">
        <v>152</v>
      </c>
      <c r="AD14" s="18" t="s">
        <v>149</v>
      </c>
      <c r="AE14" s="27"/>
    </row>
    <row r="15" customFormat="false" ht="30" hidden="false" customHeight="true" outlineLevel="0" collapsed="false">
      <c r="A15" s="23" t="s">
        <v>170</v>
      </c>
      <c r="B15" s="23" t="s">
        <v>162</v>
      </c>
      <c r="C15" s="23" t="s">
        <v>171</v>
      </c>
      <c r="D15" s="18"/>
      <c r="E15" s="18"/>
      <c r="F15" s="18" t="s">
        <v>150</v>
      </c>
      <c r="G15" s="24" t="n">
        <v>0</v>
      </c>
      <c r="H15" s="24" t="s">
        <v>151</v>
      </c>
      <c r="I15" s="24" t="n">
        <v>0</v>
      </c>
      <c r="J15" s="24" t="n">
        <v>1</v>
      </c>
      <c r="K15" s="24" t="n">
        <v>0</v>
      </c>
      <c r="L15" s="24" t="n">
        <v>0</v>
      </c>
      <c r="M15" s="24" t="n">
        <v>0</v>
      </c>
      <c r="N15" s="24" t="n">
        <v>0</v>
      </c>
      <c r="O15" s="24" t="n">
        <v>0</v>
      </c>
      <c r="P15" s="24" t="n">
        <v>0</v>
      </c>
      <c r="Q15" s="24" t="n">
        <v>0</v>
      </c>
      <c r="R15" s="24" t="n">
        <v>0</v>
      </c>
      <c r="S15" s="24" t="n">
        <v>0</v>
      </c>
      <c r="T15" s="24" t="n">
        <v>0</v>
      </c>
      <c r="U15" s="24" t="n">
        <v>0</v>
      </c>
      <c r="V15" s="24" t="n">
        <v>0</v>
      </c>
      <c r="W15" s="25" t="n">
        <f aca="false">SUM(K15:N15)</f>
        <v>0</v>
      </c>
      <c r="X15" s="25" t="n">
        <f aca="false">SUM(O15:R15)</f>
        <v>0</v>
      </c>
      <c r="Y15" s="25" t="n">
        <f aca="false">SUM(S15:V15)</f>
        <v>0</v>
      </c>
      <c r="Z15" s="25" t="n">
        <f aca="false">IF(F15="Monthly",SUM(K15:V15),IF(F15="Unit-based",G15*I15*J15,IF(F15="Manual Annual",SUM(K15:V15),0)))</f>
        <v>0</v>
      </c>
      <c r="AA15" s="24" t="n">
        <v>0</v>
      </c>
      <c r="AB15" s="26" t="n">
        <f aca="false">IFERROR((Z15-AA15)/AA15,0)</f>
        <v>0</v>
      </c>
      <c r="AC15" s="18" t="s">
        <v>152</v>
      </c>
      <c r="AD15" s="18" t="s">
        <v>149</v>
      </c>
      <c r="AE15" s="27"/>
    </row>
    <row r="16" customFormat="false" ht="30" hidden="false" customHeight="true" outlineLevel="0" collapsed="false">
      <c r="A16" s="23" t="s">
        <v>172</v>
      </c>
      <c r="B16" s="23" t="s">
        <v>162</v>
      </c>
      <c r="C16" s="23" t="s">
        <v>173</v>
      </c>
      <c r="D16" s="18"/>
      <c r="E16" s="18"/>
      <c r="F16" s="18" t="s">
        <v>150</v>
      </c>
      <c r="G16" s="24" t="n">
        <v>0</v>
      </c>
      <c r="H16" s="24" t="s">
        <v>151</v>
      </c>
      <c r="I16" s="24" t="n">
        <v>0</v>
      </c>
      <c r="J16" s="24" t="n">
        <v>1</v>
      </c>
      <c r="K16" s="24" t="n">
        <v>0</v>
      </c>
      <c r="L16" s="24" t="n">
        <v>0</v>
      </c>
      <c r="M16" s="24" t="n">
        <v>0</v>
      </c>
      <c r="N16" s="24" t="n">
        <v>0</v>
      </c>
      <c r="O16" s="24" t="n">
        <v>0</v>
      </c>
      <c r="P16" s="24" t="n">
        <v>0</v>
      </c>
      <c r="Q16" s="24" t="n">
        <v>0</v>
      </c>
      <c r="R16" s="24" t="n">
        <v>0</v>
      </c>
      <c r="S16" s="24" t="n">
        <v>0</v>
      </c>
      <c r="T16" s="24" t="n">
        <v>0</v>
      </c>
      <c r="U16" s="24" t="n">
        <v>0</v>
      </c>
      <c r="V16" s="24" t="n">
        <v>0</v>
      </c>
      <c r="W16" s="25" t="n">
        <f aca="false">SUM(K16:N16)</f>
        <v>0</v>
      </c>
      <c r="X16" s="25" t="n">
        <f aca="false">SUM(O16:R16)</f>
        <v>0</v>
      </c>
      <c r="Y16" s="25" t="n">
        <f aca="false">SUM(S16:V16)</f>
        <v>0</v>
      </c>
      <c r="Z16" s="25" t="n">
        <f aca="false">IF(F16="Monthly",SUM(K16:V16),IF(F16="Unit-based",G16*I16*J16,IF(F16="Manual Annual",SUM(K16:V16),0)))</f>
        <v>0</v>
      </c>
      <c r="AA16" s="24" t="n">
        <v>0</v>
      </c>
      <c r="AB16" s="26" t="n">
        <f aca="false">IFERROR((Z16-AA16)/AA16,0)</f>
        <v>0</v>
      </c>
      <c r="AC16" s="18" t="s">
        <v>152</v>
      </c>
      <c r="AD16" s="18" t="s">
        <v>149</v>
      </c>
      <c r="AE16" s="27"/>
    </row>
    <row r="17" customFormat="false" ht="30" hidden="false" customHeight="true" outlineLevel="0" collapsed="false">
      <c r="A17" s="23" t="s">
        <v>174</v>
      </c>
      <c r="B17" s="23" t="s">
        <v>162</v>
      </c>
      <c r="C17" s="23" t="s">
        <v>175</v>
      </c>
      <c r="D17" s="18"/>
      <c r="E17" s="18"/>
      <c r="F17" s="18" t="s">
        <v>150</v>
      </c>
      <c r="G17" s="24" t="n">
        <v>0</v>
      </c>
      <c r="H17" s="24" t="s">
        <v>151</v>
      </c>
      <c r="I17" s="24" t="n">
        <v>0</v>
      </c>
      <c r="J17" s="24" t="n">
        <v>1</v>
      </c>
      <c r="K17" s="24" t="n">
        <v>0</v>
      </c>
      <c r="L17" s="24" t="n">
        <v>0</v>
      </c>
      <c r="M17" s="24" t="n">
        <v>0</v>
      </c>
      <c r="N17" s="24" t="n">
        <v>0</v>
      </c>
      <c r="O17" s="24" t="n">
        <v>0</v>
      </c>
      <c r="P17" s="24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5" t="n">
        <f aca="false">SUM(K17:N17)</f>
        <v>0</v>
      </c>
      <c r="X17" s="25" t="n">
        <f aca="false">SUM(O17:R17)</f>
        <v>0</v>
      </c>
      <c r="Y17" s="25" t="n">
        <f aca="false">SUM(S17:V17)</f>
        <v>0</v>
      </c>
      <c r="Z17" s="25" t="n">
        <f aca="false">IF(F17="Monthly",SUM(K17:V17),IF(F17="Unit-based",G17*I17*J17,IF(F17="Manual Annual",SUM(K17:V17),0)))</f>
        <v>0</v>
      </c>
      <c r="AA17" s="24" t="n">
        <v>0</v>
      </c>
      <c r="AB17" s="26" t="n">
        <f aca="false">IFERROR((Z17-AA17)/AA17,0)</f>
        <v>0</v>
      </c>
      <c r="AC17" s="18" t="s">
        <v>152</v>
      </c>
      <c r="AD17" s="18" t="s">
        <v>149</v>
      </c>
      <c r="AE17" s="27"/>
    </row>
    <row r="18" customFormat="false" ht="30" hidden="false" customHeight="true" outlineLevel="0" collapsed="false">
      <c r="A18" s="23" t="s">
        <v>176</v>
      </c>
      <c r="B18" s="23" t="s">
        <v>162</v>
      </c>
      <c r="C18" s="23" t="s">
        <v>177</v>
      </c>
      <c r="D18" s="18"/>
      <c r="E18" s="18"/>
      <c r="F18" s="18" t="s">
        <v>150</v>
      </c>
      <c r="G18" s="24" t="n">
        <v>0</v>
      </c>
      <c r="H18" s="24" t="s">
        <v>151</v>
      </c>
      <c r="I18" s="24" t="n">
        <v>0</v>
      </c>
      <c r="J18" s="24" t="n">
        <v>1</v>
      </c>
      <c r="K18" s="24" t="n">
        <v>0</v>
      </c>
      <c r="L18" s="24" t="n">
        <v>0</v>
      </c>
      <c r="M18" s="24" t="n">
        <v>0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5" t="n">
        <f aca="false">SUM(K18:N18)</f>
        <v>0</v>
      </c>
      <c r="X18" s="25" t="n">
        <f aca="false">SUM(O18:R18)</f>
        <v>0</v>
      </c>
      <c r="Y18" s="25" t="n">
        <f aca="false">SUM(S18:V18)</f>
        <v>0</v>
      </c>
      <c r="Z18" s="25" t="n">
        <f aca="false">IF(F18="Monthly",SUM(K18:V18),IF(F18="Unit-based",G18*I18*J18,IF(F18="Manual Annual",SUM(K18:V18),0)))</f>
        <v>0</v>
      </c>
      <c r="AA18" s="24" t="n">
        <v>0</v>
      </c>
      <c r="AB18" s="26" t="n">
        <f aca="false">IFERROR((Z18-AA18)/AA18,0)</f>
        <v>0</v>
      </c>
      <c r="AC18" s="18" t="s">
        <v>152</v>
      </c>
      <c r="AD18" s="18" t="s">
        <v>149</v>
      </c>
      <c r="AE18" s="27"/>
    </row>
    <row r="19" customFormat="false" ht="30" hidden="false" customHeight="true" outlineLevel="0" collapsed="false">
      <c r="A19" s="23" t="s">
        <v>178</v>
      </c>
      <c r="B19" s="23" t="s">
        <v>162</v>
      </c>
      <c r="C19" s="23" t="s">
        <v>179</v>
      </c>
      <c r="D19" s="18"/>
      <c r="E19" s="18"/>
      <c r="F19" s="18" t="s">
        <v>150</v>
      </c>
      <c r="G19" s="24" t="n">
        <v>0</v>
      </c>
      <c r="H19" s="24" t="s">
        <v>151</v>
      </c>
      <c r="I19" s="24" t="n">
        <v>0</v>
      </c>
      <c r="J19" s="24" t="n">
        <v>1</v>
      </c>
      <c r="K19" s="24" t="n">
        <v>0</v>
      </c>
      <c r="L19" s="24" t="n">
        <v>0</v>
      </c>
      <c r="M19" s="24" t="n">
        <v>0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0</v>
      </c>
      <c r="S19" s="24" t="n">
        <v>0</v>
      </c>
      <c r="T19" s="24" t="n">
        <v>0</v>
      </c>
      <c r="U19" s="24" t="n">
        <v>0</v>
      </c>
      <c r="V19" s="24" t="n">
        <v>0</v>
      </c>
      <c r="W19" s="25" t="n">
        <f aca="false">SUM(K19:N19)</f>
        <v>0</v>
      </c>
      <c r="X19" s="25" t="n">
        <f aca="false">SUM(O19:R19)</f>
        <v>0</v>
      </c>
      <c r="Y19" s="25" t="n">
        <f aca="false">SUM(S19:V19)</f>
        <v>0</v>
      </c>
      <c r="Z19" s="25" t="n">
        <f aca="false">IF(F19="Monthly",SUM(K19:V19),IF(F19="Unit-based",G19*I19*J19,IF(F19="Manual Annual",SUM(K19:V19),0)))</f>
        <v>0</v>
      </c>
      <c r="AA19" s="24" t="n">
        <v>0</v>
      </c>
      <c r="AB19" s="26" t="n">
        <f aca="false">IFERROR((Z19-AA19)/AA19,0)</f>
        <v>0</v>
      </c>
      <c r="AC19" s="18" t="s">
        <v>152</v>
      </c>
      <c r="AD19" s="18" t="s">
        <v>149</v>
      </c>
      <c r="AE19" s="27"/>
    </row>
    <row r="20" customFormat="false" ht="30" hidden="false" customHeight="true" outlineLevel="0" collapsed="false">
      <c r="A20" s="23" t="s">
        <v>180</v>
      </c>
      <c r="B20" s="23" t="s">
        <v>162</v>
      </c>
      <c r="C20" s="23" t="s">
        <v>181</v>
      </c>
      <c r="D20" s="18"/>
      <c r="E20" s="18"/>
      <c r="F20" s="18" t="s">
        <v>150</v>
      </c>
      <c r="G20" s="24" t="n">
        <v>0</v>
      </c>
      <c r="H20" s="24" t="s">
        <v>151</v>
      </c>
      <c r="I20" s="24" t="n">
        <v>0</v>
      </c>
      <c r="J20" s="24" t="n">
        <v>1</v>
      </c>
      <c r="K20" s="24" t="n">
        <v>0</v>
      </c>
      <c r="L20" s="24" t="n">
        <v>0</v>
      </c>
      <c r="M20" s="24" t="n">
        <v>0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0</v>
      </c>
      <c r="T20" s="24" t="n">
        <v>0</v>
      </c>
      <c r="U20" s="24" t="n">
        <v>0</v>
      </c>
      <c r="V20" s="24" t="n">
        <v>0</v>
      </c>
      <c r="W20" s="25" t="n">
        <f aca="false">SUM(K20:N20)</f>
        <v>0</v>
      </c>
      <c r="X20" s="25" t="n">
        <f aca="false">SUM(O20:R20)</f>
        <v>0</v>
      </c>
      <c r="Y20" s="25" t="n">
        <f aca="false">SUM(S20:V20)</f>
        <v>0</v>
      </c>
      <c r="Z20" s="25" t="n">
        <f aca="false">IF(F20="Monthly",SUM(K20:V20),IF(F20="Unit-based",G20*I20*J20,IF(F20="Manual Annual",SUM(K20:V20),0)))</f>
        <v>0</v>
      </c>
      <c r="AA20" s="24" t="n">
        <v>0</v>
      </c>
      <c r="AB20" s="26" t="n">
        <f aca="false">IFERROR((Z20-AA20)/AA20,0)</f>
        <v>0</v>
      </c>
      <c r="AC20" s="18" t="s">
        <v>152</v>
      </c>
      <c r="AD20" s="18" t="s">
        <v>149</v>
      </c>
      <c r="AE20" s="27"/>
    </row>
    <row r="21" customFormat="false" ht="30" hidden="false" customHeight="true" outlineLevel="0" collapsed="false">
      <c r="A21" s="23" t="s">
        <v>182</v>
      </c>
      <c r="B21" s="23" t="s">
        <v>162</v>
      </c>
      <c r="C21" s="23" t="s">
        <v>183</v>
      </c>
      <c r="D21" s="18"/>
      <c r="E21" s="18"/>
      <c r="F21" s="18" t="s">
        <v>150</v>
      </c>
      <c r="G21" s="24" t="n">
        <v>0</v>
      </c>
      <c r="H21" s="24" t="s">
        <v>151</v>
      </c>
      <c r="I21" s="24" t="n">
        <v>0</v>
      </c>
      <c r="J21" s="24" t="n">
        <v>1</v>
      </c>
      <c r="K21" s="24" t="n">
        <v>0</v>
      </c>
      <c r="L21" s="24" t="n">
        <v>0</v>
      </c>
      <c r="M21" s="24" t="n">
        <v>0</v>
      </c>
      <c r="N21" s="24" t="n">
        <v>0</v>
      </c>
      <c r="O21" s="24" t="n">
        <v>0</v>
      </c>
      <c r="P21" s="24" t="n">
        <v>0</v>
      </c>
      <c r="Q21" s="24" t="n">
        <v>0</v>
      </c>
      <c r="R21" s="24" t="n">
        <v>0</v>
      </c>
      <c r="S21" s="24" t="n">
        <v>0</v>
      </c>
      <c r="T21" s="24" t="n">
        <v>0</v>
      </c>
      <c r="U21" s="24" t="n">
        <v>0</v>
      </c>
      <c r="V21" s="24" t="n">
        <v>0</v>
      </c>
      <c r="W21" s="25" t="n">
        <f aca="false">SUM(K21:N21)</f>
        <v>0</v>
      </c>
      <c r="X21" s="25" t="n">
        <f aca="false">SUM(O21:R21)</f>
        <v>0</v>
      </c>
      <c r="Y21" s="25" t="n">
        <f aca="false">SUM(S21:V21)</f>
        <v>0</v>
      </c>
      <c r="Z21" s="25" t="n">
        <f aca="false">IF(F21="Monthly",SUM(K21:V21),IF(F21="Unit-based",G21*I21*J21,IF(F21="Manual Annual",SUM(K21:V21),0)))</f>
        <v>0</v>
      </c>
      <c r="AA21" s="24" t="n">
        <v>0</v>
      </c>
      <c r="AB21" s="26" t="n">
        <f aca="false">IFERROR((Z21-AA21)/AA21,0)</f>
        <v>0</v>
      </c>
      <c r="AC21" s="18" t="s">
        <v>152</v>
      </c>
      <c r="AD21" s="18" t="s">
        <v>149</v>
      </c>
      <c r="AE21" s="27"/>
    </row>
    <row r="22" customFormat="false" ht="30" hidden="false" customHeight="true" outlineLevel="0" collapsed="false">
      <c r="A22" s="23" t="s">
        <v>184</v>
      </c>
      <c r="B22" s="23" t="s">
        <v>162</v>
      </c>
      <c r="C22" s="23" t="s">
        <v>185</v>
      </c>
      <c r="D22" s="18"/>
      <c r="E22" s="18"/>
      <c r="F22" s="18" t="s">
        <v>150</v>
      </c>
      <c r="G22" s="24" t="n">
        <v>0</v>
      </c>
      <c r="H22" s="24" t="s">
        <v>151</v>
      </c>
      <c r="I22" s="24" t="n">
        <v>0</v>
      </c>
      <c r="J22" s="24" t="n">
        <v>1</v>
      </c>
      <c r="K22" s="24" t="n">
        <v>0</v>
      </c>
      <c r="L22" s="24" t="n">
        <v>0</v>
      </c>
      <c r="M22" s="24" t="n">
        <v>0</v>
      </c>
      <c r="N22" s="24" t="n">
        <v>0</v>
      </c>
      <c r="O22" s="24" t="n">
        <v>0</v>
      </c>
      <c r="P22" s="24" t="n">
        <v>0</v>
      </c>
      <c r="Q22" s="24" t="n">
        <v>0</v>
      </c>
      <c r="R22" s="24" t="n">
        <v>0</v>
      </c>
      <c r="S22" s="24" t="n">
        <v>0</v>
      </c>
      <c r="T22" s="24" t="n">
        <v>0</v>
      </c>
      <c r="U22" s="24" t="n">
        <v>0</v>
      </c>
      <c r="V22" s="24" t="n">
        <v>0</v>
      </c>
      <c r="W22" s="25" t="n">
        <f aca="false">SUM(K22:N22)</f>
        <v>0</v>
      </c>
      <c r="X22" s="25" t="n">
        <f aca="false">SUM(O22:R22)</f>
        <v>0</v>
      </c>
      <c r="Y22" s="25" t="n">
        <f aca="false">SUM(S22:V22)</f>
        <v>0</v>
      </c>
      <c r="Z22" s="25" t="n">
        <f aca="false">IF(F22="Monthly",SUM(K22:V22),IF(F22="Unit-based",G22*I22*J22,IF(F22="Manual Annual",SUM(K22:V22),0)))</f>
        <v>0</v>
      </c>
      <c r="AA22" s="24" t="n">
        <v>0</v>
      </c>
      <c r="AB22" s="26" t="n">
        <f aca="false">IFERROR((Z22-AA22)/AA22,0)</f>
        <v>0</v>
      </c>
      <c r="AC22" s="18" t="s">
        <v>152</v>
      </c>
      <c r="AD22" s="18" t="s">
        <v>149</v>
      </c>
      <c r="AE22" s="27"/>
    </row>
    <row r="23" customFormat="false" ht="30" hidden="false" customHeight="true" outlineLevel="0" collapsed="false">
      <c r="A23" s="23" t="s">
        <v>186</v>
      </c>
      <c r="B23" s="23" t="s">
        <v>162</v>
      </c>
      <c r="C23" s="23" t="s">
        <v>187</v>
      </c>
      <c r="D23" s="18"/>
      <c r="E23" s="18"/>
      <c r="F23" s="18" t="s">
        <v>150</v>
      </c>
      <c r="G23" s="24" t="n">
        <v>0</v>
      </c>
      <c r="H23" s="24" t="s">
        <v>151</v>
      </c>
      <c r="I23" s="24" t="n">
        <v>0</v>
      </c>
      <c r="J23" s="24" t="n">
        <v>1</v>
      </c>
      <c r="K23" s="24" t="n">
        <v>0</v>
      </c>
      <c r="L23" s="24" t="n">
        <v>0</v>
      </c>
      <c r="M23" s="24" t="n">
        <v>0</v>
      </c>
      <c r="N23" s="24" t="n">
        <v>0</v>
      </c>
      <c r="O23" s="24" t="n">
        <v>0</v>
      </c>
      <c r="P23" s="24" t="n">
        <v>0</v>
      </c>
      <c r="Q23" s="24" t="n">
        <v>0</v>
      </c>
      <c r="R23" s="24" t="n">
        <v>0</v>
      </c>
      <c r="S23" s="24" t="n">
        <v>0</v>
      </c>
      <c r="T23" s="24" t="n">
        <v>0</v>
      </c>
      <c r="U23" s="24" t="n">
        <v>0</v>
      </c>
      <c r="V23" s="24" t="n">
        <v>0</v>
      </c>
      <c r="W23" s="25" t="n">
        <f aca="false">SUM(K23:N23)</f>
        <v>0</v>
      </c>
      <c r="X23" s="25" t="n">
        <f aca="false">SUM(O23:R23)</f>
        <v>0</v>
      </c>
      <c r="Y23" s="25" t="n">
        <f aca="false">SUM(S23:V23)</f>
        <v>0</v>
      </c>
      <c r="Z23" s="25" t="n">
        <f aca="false">IF(F23="Monthly",SUM(K23:V23),IF(F23="Unit-based",G23*I23*J23,IF(F23="Manual Annual",SUM(K23:V23),0)))</f>
        <v>0</v>
      </c>
      <c r="AA23" s="24" t="n">
        <v>0</v>
      </c>
      <c r="AB23" s="26" t="n">
        <f aca="false">IFERROR((Z23-AA23)/AA23,0)</f>
        <v>0</v>
      </c>
      <c r="AC23" s="18" t="s">
        <v>152</v>
      </c>
      <c r="AD23" s="18" t="s">
        <v>149</v>
      </c>
      <c r="AE23" s="27"/>
    </row>
    <row r="24" customFormat="false" ht="30" hidden="false" customHeight="true" outlineLevel="0" collapsed="false">
      <c r="A24" s="23" t="s">
        <v>188</v>
      </c>
      <c r="B24" s="23" t="s">
        <v>162</v>
      </c>
      <c r="C24" s="23" t="s">
        <v>189</v>
      </c>
      <c r="D24" s="18"/>
      <c r="E24" s="18"/>
      <c r="F24" s="18" t="s">
        <v>150</v>
      </c>
      <c r="G24" s="24" t="n">
        <v>0</v>
      </c>
      <c r="H24" s="24" t="s">
        <v>151</v>
      </c>
      <c r="I24" s="24" t="n">
        <v>0</v>
      </c>
      <c r="J24" s="24" t="n">
        <v>1</v>
      </c>
      <c r="K24" s="24" t="n">
        <v>0</v>
      </c>
      <c r="L24" s="24" t="n">
        <v>0</v>
      </c>
      <c r="M24" s="24" t="n">
        <v>0</v>
      </c>
      <c r="N24" s="24" t="n">
        <v>0</v>
      </c>
      <c r="O24" s="24" t="n">
        <v>0</v>
      </c>
      <c r="P24" s="24" t="n">
        <v>0</v>
      </c>
      <c r="Q24" s="24" t="n">
        <v>0</v>
      </c>
      <c r="R24" s="24" t="n">
        <v>0</v>
      </c>
      <c r="S24" s="24" t="n">
        <v>0</v>
      </c>
      <c r="T24" s="24" t="n">
        <v>0</v>
      </c>
      <c r="U24" s="24" t="n">
        <v>0</v>
      </c>
      <c r="V24" s="24" t="n">
        <v>0</v>
      </c>
      <c r="W24" s="25" t="n">
        <f aca="false">SUM(K24:N24)</f>
        <v>0</v>
      </c>
      <c r="X24" s="25" t="n">
        <f aca="false">SUM(O24:R24)</f>
        <v>0</v>
      </c>
      <c r="Y24" s="25" t="n">
        <f aca="false">SUM(S24:V24)</f>
        <v>0</v>
      </c>
      <c r="Z24" s="25" t="n">
        <f aca="false">IF(F24="Monthly",SUM(K24:V24),IF(F24="Unit-based",G24*I24*J24,IF(F24="Manual Annual",SUM(K24:V24),0)))</f>
        <v>0</v>
      </c>
      <c r="AA24" s="24" t="n">
        <v>0</v>
      </c>
      <c r="AB24" s="26" t="n">
        <f aca="false">IFERROR((Z24-AA24)/AA24,0)</f>
        <v>0</v>
      </c>
      <c r="AC24" s="18" t="s">
        <v>152</v>
      </c>
      <c r="AD24" s="18" t="s">
        <v>149</v>
      </c>
      <c r="AE24" s="27"/>
    </row>
    <row r="25" customFormat="false" ht="30" hidden="false" customHeight="true" outlineLevel="0" collapsed="false">
      <c r="A25" s="23" t="s">
        <v>190</v>
      </c>
      <c r="B25" s="23" t="s">
        <v>162</v>
      </c>
      <c r="C25" s="23" t="s">
        <v>191</v>
      </c>
      <c r="D25" s="18"/>
      <c r="E25" s="18"/>
      <c r="F25" s="18" t="s">
        <v>150</v>
      </c>
      <c r="G25" s="24" t="n">
        <v>0</v>
      </c>
      <c r="H25" s="24" t="s">
        <v>151</v>
      </c>
      <c r="I25" s="24" t="n">
        <v>0</v>
      </c>
      <c r="J25" s="24" t="n">
        <v>1</v>
      </c>
      <c r="K25" s="24" t="n">
        <v>0</v>
      </c>
      <c r="L25" s="24" t="n">
        <v>0</v>
      </c>
      <c r="M25" s="24" t="n">
        <v>0</v>
      </c>
      <c r="N25" s="24" t="n">
        <v>0</v>
      </c>
      <c r="O25" s="24" t="n">
        <v>0</v>
      </c>
      <c r="P25" s="24" t="n">
        <v>0</v>
      </c>
      <c r="Q25" s="24" t="n">
        <v>0</v>
      </c>
      <c r="R25" s="24" t="n">
        <v>0</v>
      </c>
      <c r="S25" s="24" t="n">
        <v>0</v>
      </c>
      <c r="T25" s="24" t="n">
        <v>0</v>
      </c>
      <c r="U25" s="24" t="n">
        <v>0</v>
      </c>
      <c r="V25" s="24" t="n">
        <v>0</v>
      </c>
      <c r="W25" s="25" t="n">
        <f aca="false">SUM(K25:N25)</f>
        <v>0</v>
      </c>
      <c r="X25" s="25" t="n">
        <f aca="false">SUM(O25:R25)</f>
        <v>0</v>
      </c>
      <c r="Y25" s="25" t="n">
        <f aca="false">SUM(S25:V25)</f>
        <v>0</v>
      </c>
      <c r="Z25" s="25" t="n">
        <f aca="false">IF(F25="Monthly",SUM(K25:V25),IF(F25="Unit-based",G25*I25*J25,IF(F25="Manual Annual",SUM(K25:V25),0)))</f>
        <v>0</v>
      </c>
      <c r="AA25" s="24" t="n">
        <v>0</v>
      </c>
      <c r="AB25" s="26" t="n">
        <f aca="false">IFERROR((Z25-AA25)/AA25,0)</f>
        <v>0</v>
      </c>
      <c r="AC25" s="18" t="s">
        <v>152</v>
      </c>
      <c r="AD25" s="18" t="s">
        <v>149</v>
      </c>
      <c r="AE25" s="27"/>
    </row>
    <row r="26" customFormat="false" ht="30" hidden="false" customHeight="true" outlineLevel="0" collapsed="false">
      <c r="A26" s="23" t="s">
        <v>192</v>
      </c>
      <c r="B26" s="23" t="s">
        <v>162</v>
      </c>
      <c r="C26" s="23" t="s">
        <v>193</v>
      </c>
      <c r="D26" s="18"/>
      <c r="E26" s="18"/>
      <c r="F26" s="18" t="s">
        <v>150</v>
      </c>
      <c r="G26" s="24" t="n">
        <v>0</v>
      </c>
      <c r="H26" s="24" t="s">
        <v>151</v>
      </c>
      <c r="I26" s="24" t="n">
        <v>0</v>
      </c>
      <c r="J26" s="24" t="n">
        <v>1</v>
      </c>
      <c r="K26" s="24" t="n">
        <v>0</v>
      </c>
      <c r="L26" s="24" t="n">
        <v>0</v>
      </c>
      <c r="M26" s="24" t="n">
        <v>0</v>
      </c>
      <c r="N26" s="24" t="n">
        <v>0</v>
      </c>
      <c r="O26" s="24" t="n">
        <v>0</v>
      </c>
      <c r="P26" s="24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0</v>
      </c>
      <c r="W26" s="25" t="n">
        <f aca="false">SUM(K26:N26)</f>
        <v>0</v>
      </c>
      <c r="X26" s="25" t="n">
        <f aca="false">SUM(O26:R26)</f>
        <v>0</v>
      </c>
      <c r="Y26" s="25" t="n">
        <f aca="false">SUM(S26:V26)</f>
        <v>0</v>
      </c>
      <c r="Z26" s="25" t="n">
        <f aca="false">IF(F26="Monthly",SUM(K26:V26),IF(F26="Unit-based",G26*I26*J26,IF(F26="Manual Annual",SUM(K26:V26),0)))</f>
        <v>0</v>
      </c>
      <c r="AA26" s="24" t="n">
        <v>0</v>
      </c>
      <c r="AB26" s="26" t="n">
        <f aca="false">IFERROR((Z26-AA26)/AA26,0)</f>
        <v>0</v>
      </c>
      <c r="AC26" s="18" t="s">
        <v>152</v>
      </c>
      <c r="AD26" s="18" t="s">
        <v>149</v>
      </c>
      <c r="AE26" s="27"/>
    </row>
    <row r="27" customFormat="false" ht="30" hidden="false" customHeight="true" outlineLevel="0" collapsed="false">
      <c r="A27" s="23" t="s">
        <v>194</v>
      </c>
      <c r="B27" s="23" t="s">
        <v>162</v>
      </c>
      <c r="C27" s="23" t="s">
        <v>195</v>
      </c>
      <c r="D27" s="18"/>
      <c r="E27" s="18"/>
      <c r="F27" s="18" t="s">
        <v>150</v>
      </c>
      <c r="G27" s="24" t="n">
        <v>0</v>
      </c>
      <c r="H27" s="24" t="s">
        <v>151</v>
      </c>
      <c r="I27" s="24" t="n">
        <v>0</v>
      </c>
      <c r="J27" s="24" t="n">
        <v>1</v>
      </c>
      <c r="K27" s="24" t="n">
        <v>0</v>
      </c>
      <c r="L27" s="24" t="n">
        <v>0</v>
      </c>
      <c r="M27" s="24" t="n">
        <v>0</v>
      </c>
      <c r="N27" s="24" t="n">
        <v>0</v>
      </c>
      <c r="O27" s="24" t="n">
        <v>0</v>
      </c>
      <c r="P27" s="24" t="n">
        <v>0</v>
      </c>
      <c r="Q27" s="24" t="n">
        <v>0</v>
      </c>
      <c r="R27" s="24" t="n">
        <v>0</v>
      </c>
      <c r="S27" s="24" t="n">
        <v>0</v>
      </c>
      <c r="T27" s="24" t="n">
        <v>0</v>
      </c>
      <c r="U27" s="24" t="n">
        <v>0</v>
      </c>
      <c r="V27" s="24" t="n">
        <v>0</v>
      </c>
      <c r="W27" s="25" t="n">
        <f aca="false">SUM(K27:N27)</f>
        <v>0</v>
      </c>
      <c r="X27" s="25" t="n">
        <f aca="false">SUM(O27:R27)</f>
        <v>0</v>
      </c>
      <c r="Y27" s="25" t="n">
        <f aca="false">SUM(S27:V27)</f>
        <v>0</v>
      </c>
      <c r="Z27" s="25" t="n">
        <f aca="false">IF(F27="Monthly",SUM(K27:V27),IF(F27="Unit-based",G27*I27*J27,IF(F27="Manual Annual",SUM(K27:V27),0)))</f>
        <v>0</v>
      </c>
      <c r="AA27" s="24" t="n">
        <v>0</v>
      </c>
      <c r="AB27" s="26" t="n">
        <f aca="false">IFERROR((Z27-AA27)/AA27,0)</f>
        <v>0</v>
      </c>
      <c r="AC27" s="18" t="s">
        <v>152</v>
      </c>
      <c r="AD27" s="18" t="s">
        <v>149</v>
      </c>
      <c r="AE27" s="27"/>
    </row>
    <row r="28" customFormat="false" ht="30" hidden="false" customHeight="true" outlineLevel="0" collapsed="false">
      <c r="A28" s="23" t="s">
        <v>196</v>
      </c>
      <c r="B28" s="23" t="s">
        <v>197</v>
      </c>
      <c r="C28" s="23" t="s">
        <v>198</v>
      </c>
      <c r="D28" s="18"/>
      <c r="E28" s="18"/>
      <c r="F28" s="18" t="s">
        <v>150</v>
      </c>
      <c r="G28" s="24" t="n">
        <v>0</v>
      </c>
      <c r="H28" s="24" t="s">
        <v>151</v>
      </c>
      <c r="I28" s="24" t="n">
        <v>0</v>
      </c>
      <c r="J28" s="24" t="n">
        <v>1</v>
      </c>
      <c r="K28" s="24" t="n">
        <v>0</v>
      </c>
      <c r="L28" s="24" t="n">
        <v>0</v>
      </c>
      <c r="M28" s="24" t="n">
        <v>0</v>
      </c>
      <c r="N28" s="24" t="n">
        <v>0</v>
      </c>
      <c r="O28" s="24" t="n">
        <v>0</v>
      </c>
      <c r="P28" s="24" t="n">
        <v>0</v>
      </c>
      <c r="Q28" s="24" t="n">
        <v>0</v>
      </c>
      <c r="R28" s="24" t="n">
        <v>0</v>
      </c>
      <c r="S28" s="24" t="n">
        <v>0</v>
      </c>
      <c r="T28" s="24" t="n">
        <v>0</v>
      </c>
      <c r="U28" s="24" t="n">
        <v>0</v>
      </c>
      <c r="V28" s="24" t="n">
        <v>0</v>
      </c>
      <c r="W28" s="25" t="n">
        <f aca="false">SUM(K28:N28)</f>
        <v>0</v>
      </c>
      <c r="X28" s="25" t="n">
        <f aca="false">SUM(O28:R28)</f>
        <v>0</v>
      </c>
      <c r="Y28" s="25" t="n">
        <f aca="false">SUM(S28:V28)</f>
        <v>0</v>
      </c>
      <c r="Z28" s="25" t="n">
        <f aca="false">IF(F28="Monthly",SUM(K28:V28),IF(F28="Unit-based",G28*I28*J28,IF(F28="Manual Annual",SUM(K28:V28),0)))</f>
        <v>0</v>
      </c>
      <c r="AA28" s="24" t="n">
        <v>0</v>
      </c>
      <c r="AB28" s="26" t="n">
        <f aca="false">IFERROR((Z28-AA28)/AA28,0)</f>
        <v>0</v>
      </c>
      <c r="AC28" s="18" t="s">
        <v>152</v>
      </c>
      <c r="AD28" s="18" t="s">
        <v>149</v>
      </c>
      <c r="AE28" s="27"/>
    </row>
    <row r="29" customFormat="false" ht="30" hidden="false" customHeight="true" outlineLevel="0" collapsed="false">
      <c r="A29" s="23" t="s">
        <v>199</v>
      </c>
      <c r="B29" s="23" t="s">
        <v>197</v>
      </c>
      <c r="C29" s="23" t="s">
        <v>200</v>
      </c>
      <c r="D29" s="18"/>
      <c r="E29" s="18"/>
      <c r="F29" s="18" t="s">
        <v>150</v>
      </c>
      <c r="G29" s="24" t="n">
        <v>0</v>
      </c>
      <c r="H29" s="24" t="s">
        <v>151</v>
      </c>
      <c r="I29" s="24" t="n">
        <v>0</v>
      </c>
      <c r="J29" s="24" t="n">
        <v>1</v>
      </c>
      <c r="K29" s="24" t="n">
        <v>0</v>
      </c>
      <c r="L29" s="24" t="n">
        <v>0</v>
      </c>
      <c r="M29" s="24" t="n">
        <v>0</v>
      </c>
      <c r="N29" s="24" t="n">
        <v>0</v>
      </c>
      <c r="O29" s="24" t="n">
        <v>0</v>
      </c>
      <c r="P29" s="24" t="n">
        <v>0</v>
      </c>
      <c r="Q29" s="24" t="n">
        <v>0</v>
      </c>
      <c r="R29" s="24" t="n">
        <v>0</v>
      </c>
      <c r="S29" s="24" t="n">
        <v>0</v>
      </c>
      <c r="T29" s="24" t="n">
        <v>0</v>
      </c>
      <c r="U29" s="24" t="n">
        <v>0</v>
      </c>
      <c r="V29" s="24" t="n">
        <v>0</v>
      </c>
      <c r="W29" s="25" t="n">
        <f aca="false">SUM(K29:N29)</f>
        <v>0</v>
      </c>
      <c r="X29" s="25" t="n">
        <f aca="false">SUM(O29:R29)</f>
        <v>0</v>
      </c>
      <c r="Y29" s="25" t="n">
        <f aca="false">SUM(S29:V29)</f>
        <v>0</v>
      </c>
      <c r="Z29" s="25" t="n">
        <f aca="false">IF(F29="Monthly",SUM(K29:V29),IF(F29="Unit-based",G29*I29*J29,IF(F29="Manual Annual",SUM(K29:V29),0)))</f>
        <v>0</v>
      </c>
      <c r="AA29" s="24" t="n">
        <v>0</v>
      </c>
      <c r="AB29" s="26" t="n">
        <f aca="false">IFERROR((Z29-AA29)/AA29,0)</f>
        <v>0</v>
      </c>
      <c r="AC29" s="18" t="s">
        <v>152</v>
      </c>
      <c r="AD29" s="18" t="s">
        <v>149</v>
      </c>
      <c r="AE29" s="27"/>
    </row>
    <row r="30" customFormat="false" ht="30" hidden="false" customHeight="true" outlineLevel="0" collapsed="false">
      <c r="A30" s="23" t="s">
        <v>201</v>
      </c>
      <c r="B30" s="23" t="s">
        <v>197</v>
      </c>
      <c r="C30" s="23" t="s">
        <v>202</v>
      </c>
      <c r="D30" s="18"/>
      <c r="E30" s="18"/>
      <c r="F30" s="18" t="s">
        <v>150</v>
      </c>
      <c r="G30" s="24" t="n">
        <v>0</v>
      </c>
      <c r="H30" s="24" t="s">
        <v>151</v>
      </c>
      <c r="I30" s="24" t="n">
        <v>0</v>
      </c>
      <c r="J30" s="24" t="n">
        <v>1</v>
      </c>
      <c r="K30" s="24" t="n">
        <v>0</v>
      </c>
      <c r="L30" s="24" t="n">
        <v>0</v>
      </c>
      <c r="M30" s="24" t="n">
        <v>0</v>
      </c>
      <c r="N30" s="24" t="n">
        <v>0</v>
      </c>
      <c r="O30" s="24" t="n">
        <v>0</v>
      </c>
      <c r="P30" s="24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s="24" t="n">
        <v>0</v>
      </c>
      <c r="V30" s="24" t="n">
        <v>0</v>
      </c>
      <c r="W30" s="25" t="n">
        <f aca="false">SUM(K30:N30)</f>
        <v>0</v>
      </c>
      <c r="X30" s="25" t="n">
        <f aca="false">SUM(O30:R30)</f>
        <v>0</v>
      </c>
      <c r="Y30" s="25" t="n">
        <f aca="false">SUM(S30:V30)</f>
        <v>0</v>
      </c>
      <c r="Z30" s="25" t="n">
        <f aca="false">IF(F30="Monthly",SUM(K30:V30),IF(F30="Unit-based",G30*I30*J30,IF(F30="Manual Annual",SUM(K30:V30),0)))</f>
        <v>0</v>
      </c>
      <c r="AA30" s="24" t="n">
        <v>0</v>
      </c>
      <c r="AB30" s="26" t="n">
        <f aca="false">IFERROR((Z30-AA30)/AA30,0)</f>
        <v>0</v>
      </c>
      <c r="AC30" s="18" t="s">
        <v>152</v>
      </c>
      <c r="AD30" s="18" t="s">
        <v>149</v>
      </c>
      <c r="AE30" s="27"/>
    </row>
    <row r="31" customFormat="false" ht="30" hidden="false" customHeight="true" outlineLevel="0" collapsed="false">
      <c r="A31" s="23" t="s">
        <v>203</v>
      </c>
      <c r="B31" s="23" t="s">
        <v>204</v>
      </c>
      <c r="C31" s="23" t="s">
        <v>205</v>
      </c>
      <c r="D31" s="18"/>
      <c r="E31" s="18"/>
      <c r="F31" s="18" t="s">
        <v>150</v>
      </c>
      <c r="G31" s="24" t="n">
        <v>0</v>
      </c>
      <c r="H31" s="24" t="s">
        <v>151</v>
      </c>
      <c r="I31" s="24" t="n">
        <v>0</v>
      </c>
      <c r="J31" s="24" t="n">
        <v>1</v>
      </c>
      <c r="K31" s="24" t="n">
        <v>0</v>
      </c>
      <c r="L31" s="24" t="n">
        <v>0</v>
      </c>
      <c r="M31" s="24" t="n">
        <v>0</v>
      </c>
      <c r="N31" s="24" t="n">
        <v>0</v>
      </c>
      <c r="O31" s="24" t="n">
        <v>0</v>
      </c>
      <c r="P31" s="24" t="n">
        <v>0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</v>
      </c>
      <c r="V31" s="24" t="n">
        <v>0</v>
      </c>
      <c r="W31" s="25" t="n">
        <f aca="false">SUM(K31:N31)</f>
        <v>0</v>
      </c>
      <c r="X31" s="25" t="n">
        <f aca="false">SUM(O31:R31)</f>
        <v>0</v>
      </c>
      <c r="Y31" s="25" t="n">
        <f aca="false">SUM(S31:V31)</f>
        <v>0</v>
      </c>
      <c r="Z31" s="25" t="n">
        <f aca="false">IF(F31="Monthly",SUM(K31:V31),IF(F31="Unit-based",G31*I31*J31,IF(F31="Manual Annual",SUM(K31:V31),0)))</f>
        <v>0</v>
      </c>
      <c r="AA31" s="24" t="n">
        <v>0</v>
      </c>
      <c r="AB31" s="26" t="n">
        <f aca="false">IFERROR((Z31-AA31)/AA31,0)</f>
        <v>0</v>
      </c>
      <c r="AC31" s="18" t="s">
        <v>152</v>
      </c>
      <c r="AD31" s="18" t="s">
        <v>149</v>
      </c>
      <c r="AE31" s="27"/>
    </row>
    <row r="32" customFormat="false" ht="30" hidden="false" customHeight="true" outlineLevel="0" collapsed="false">
      <c r="A32" s="23" t="s">
        <v>206</v>
      </c>
      <c r="B32" s="23" t="s">
        <v>204</v>
      </c>
      <c r="C32" s="23" t="s">
        <v>207</v>
      </c>
      <c r="D32" s="18"/>
      <c r="E32" s="18"/>
      <c r="F32" s="18" t="s">
        <v>150</v>
      </c>
      <c r="G32" s="24" t="n">
        <v>0</v>
      </c>
      <c r="H32" s="24" t="s">
        <v>151</v>
      </c>
      <c r="I32" s="24" t="n">
        <v>0</v>
      </c>
      <c r="J32" s="24" t="n">
        <v>1</v>
      </c>
      <c r="K32" s="24" t="n">
        <v>0</v>
      </c>
      <c r="L32" s="24" t="n">
        <v>0</v>
      </c>
      <c r="M32" s="24" t="n">
        <v>0</v>
      </c>
      <c r="N32" s="24" t="n">
        <v>0</v>
      </c>
      <c r="O32" s="24" t="n">
        <v>0</v>
      </c>
      <c r="P32" s="24" t="n">
        <v>0</v>
      </c>
      <c r="Q32" s="24" t="n">
        <v>0</v>
      </c>
      <c r="R32" s="24" t="n">
        <v>0</v>
      </c>
      <c r="S32" s="24" t="n">
        <v>0</v>
      </c>
      <c r="T32" s="24" t="n">
        <v>0</v>
      </c>
      <c r="U32" s="24" t="n">
        <v>0</v>
      </c>
      <c r="V32" s="24" t="n">
        <v>0</v>
      </c>
      <c r="W32" s="25" t="n">
        <f aca="false">SUM(K32:N32)</f>
        <v>0</v>
      </c>
      <c r="X32" s="25" t="n">
        <f aca="false">SUM(O32:R32)</f>
        <v>0</v>
      </c>
      <c r="Y32" s="25" t="n">
        <f aca="false">SUM(S32:V32)</f>
        <v>0</v>
      </c>
      <c r="Z32" s="25" t="n">
        <f aca="false">IF(F32="Monthly",SUM(K32:V32),IF(F32="Unit-based",G32*I32*J32,IF(F32="Manual Annual",SUM(K32:V32),0)))</f>
        <v>0</v>
      </c>
      <c r="AA32" s="24" t="n">
        <v>0</v>
      </c>
      <c r="AB32" s="26" t="n">
        <f aca="false">IFERROR((Z32-AA32)/AA32,0)</f>
        <v>0</v>
      </c>
      <c r="AC32" s="18" t="s">
        <v>152</v>
      </c>
      <c r="AD32" s="18" t="s">
        <v>149</v>
      </c>
      <c r="AE32" s="27"/>
    </row>
    <row r="33" customFormat="false" ht="30" hidden="false" customHeight="true" outlineLevel="0" collapsed="false">
      <c r="A33" s="18" t="s">
        <v>208</v>
      </c>
      <c r="B33" s="18"/>
      <c r="C33" s="18"/>
      <c r="D33" s="18"/>
      <c r="E33" s="18"/>
      <c r="F33" s="18" t="s">
        <v>150</v>
      </c>
      <c r="G33" s="24" t="n">
        <v>0</v>
      </c>
      <c r="H33" s="24" t="s">
        <v>151</v>
      </c>
      <c r="I33" s="24" t="n">
        <v>0</v>
      </c>
      <c r="J33" s="24" t="n">
        <v>1</v>
      </c>
      <c r="K33" s="24" t="n">
        <v>0</v>
      </c>
      <c r="L33" s="24" t="n">
        <v>0</v>
      </c>
      <c r="M33" s="24" t="n">
        <v>0</v>
      </c>
      <c r="N33" s="24" t="n">
        <v>0</v>
      </c>
      <c r="O33" s="24" t="n">
        <v>0</v>
      </c>
      <c r="P33" s="24" t="n">
        <v>0</v>
      </c>
      <c r="Q33" s="24" t="n">
        <v>0</v>
      </c>
      <c r="R33" s="24" t="n">
        <v>0</v>
      </c>
      <c r="S33" s="24" t="n">
        <v>0</v>
      </c>
      <c r="T33" s="24" t="n">
        <v>0</v>
      </c>
      <c r="U33" s="24" t="n">
        <v>0</v>
      </c>
      <c r="V33" s="24" t="n">
        <v>0</v>
      </c>
      <c r="W33" s="25" t="n">
        <f aca="false">SUM(K33:N33)</f>
        <v>0</v>
      </c>
      <c r="X33" s="25" t="n">
        <f aca="false">SUM(O33:R33)</f>
        <v>0</v>
      </c>
      <c r="Y33" s="25" t="n">
        <f aca="false">SUM(S33:V33)</f>
        <v>0</v>
      </c>
      <c r="Z33" s="25" t="n">
        <f aca="false">IF(F33="Monthly",SUM(K33:V33),IF(F33="Unit-based",G33*I33*J33,IF(F33="Manual Annual",SUM(K33:V33),0)))</f>
        <v>0</v>
      </c>
      <c r="AA33" s="24" t="n">
        <v>0</v>
      </c>
      <c r="AB33" s="26" t="n">
        <f aca="false">IFERROR((Z33-AA33)/AA33,0)</f>
        <v>0</v>
      </c>
      <c r="AC33" s="18" t="s">
        <v>152</v>
      </c>
      <c r="AD33" s="18" t="s">
        <v>149</v>
      </c>
      <c r="AE33" s="18"/>
    </row>
    <row r="34" customFormat="false" ht="30" hidden="false" customHeight="true" outlineLevel="0" collapsed="false">
      <c r="A34" s="18" t="s">
        <v>209</v>
      </c>
      <c r="B34" s="18"/>
      <c r="C34" s="18"/>
      <c r="D34" s="18"/>
      <c r="E34" s="18"/>
      <c r="F34" s="18" t="s">
        <v>150</v>
      </c>
      <c r="G34" s="24" t="n">
        <v>0</v>
      </c>
      <c r="H34" s="24" t="s">
        <v>151</v>
      </c>
      <c r="I34" s="24" t="n">
        <v>0</v>
      </c>
      <c r="J34" s="24" t="n">
        <v>1</v>
      </c>
      <c r="K34" s="24" t="n">
        <v>0</v>
      </c>
      <c r="L34" s="24" t="n">
        <v>0</v>
      </c>
      <c r="M34" s="24" t="n">
        <v>0</v>
      </c>
      <c r="N34" s="24" t="n">
        <v>0</v>
      </c>
      <c r="O34" s="24" t="n">
        <v>0</v>
      </c>
      <c r="P34" s="24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5" t="n">
        <f aca="false">SUM(K34:N34)</f>
        <v>0</v>
      </c>
      <c r="X34" s="25" t="n">
        <f aca="false">SUM(O34:R34)</f>
        <v>0</v>
      </c>
      <c r="Y34" s="25" t="n">
        <f aca="false">SUM(S34:V34)</f>
        <v>0</v>
      </c>
      <c r="Z34" s="25" t="n">
        <f aca="false">IF(F34="Monthly",SUM(K34:V34),IF(F34="Unit-based",G34*I34*J34,IF(F34="Manual Annual",SUM(K34:V34),0)))</f>
        <v>0</v>
      </c>
      <c r="AA34" s="24" t="n">
        <v>0</v>
      </c>
      <c r="AB34" s="26" t="n">
        <f aca="false">IFERROR((Z34-AA34)/AA34,0)</f>
        <v>0</v>
      </c>
      <c r="AC34" s="18" t="s">
        <v>152</v>
      </c>
      <c r="AD34" s="18" t="s">
        <v>149</v>
      </c>
      <c r="AE34" s="18"/>
    </row>
    <row r="35" customFormat="false" ht="30" hidden="false" customHeight="true" outlineLevel="0" collapsed="false">
      <c r="A35" s="18" t="s">
        <v>210</v>
      </c>
      <c r="B35" s="18"/>
      <c r="C35" s="18"/>
      <c r="D35" s="18"/>
      <c r="E35" s="18"/>
      <c r="F35" s="18" t="s">
        <v>150</v>
      </c>
      <c r="G35" s="24" t="n">
        <v>0</v>
      </c>
      <c r="H35" s="24" t="s">
        <v>151</v>
      </c>
      <c r="I35" s="24" t="n">
        <v>0</v>
      </c>
      <c r="J35" s="24" t="n">
        <v>1</v>
      </c>
      <c r="K35" s="24" t="n">
        <v>0</v>
      </c>
      <c r="L35" s="24" t="n">
        <v>0</v>
      </c>
      <c r="M35" s="24" t="n">
        <v>0</v>
      </c>
      <c r="N35" s="24" t="n">
        <v>0</v>
      </c>
      <c r="O35" s="24" t="n">
        <v>0</v>
      </c>
      <c r="P35" s="24" t="n">
        <v>0</v>
      </c>
      <c r="Q35" s="24" t="n">
        <v>0</v>
      </c>
      <c r="R35" s="24" t="n">
        <v>0</v>
      </c>
      <c r="S35" s="24" t="n">
        <v>0</v>
      </c>
      <c r="T35" s="24" t="n">
        <v>0</v>
      </c>
      <c r="U35" s="24" t="n">
        <v>0</v>
      </c>
      <c r="V35" s="24" t="n">
        <v>0</v>
      </c>
      <c r="W35" s="25" t="n">
        <f aca="false">SUM(K35:N35)</f>
        <v>0</v>
      </c>
      <c r="X35" s="25" t="n">
        <f aca="false">SUM(O35:R35)</f>
        <v>0</v>
      </c>
      <c r="Y35" s="25" t="n">
        <f aca="false">SUM(S35:V35)</f>
        <v>0</v>
      </c>
      <c r="Z35" s="25" t="n">
        <f aca="false">IF(F35="Monthly",SUM(K35:V35),IF(F35="Unit-based",G35*I35*J35,IF(F35="Manual Annual",SUM(K35:V35),0)))</f>
        <v>0</v>
      </c>
      <c r="AA35" s="24" t="n">
        <v>0</v>
      </c>
      <c r="AB35" s="26" t="n">
        <f aca="false">IFERROR((Z35-AA35)/AA35,0)</f>
        <v>0</v>
      </c>
      <c r="AC35" s="18" t="s">
        <v>152</v>
      </c>
      <c r="AD35" s="18" t="s">
        <v>149</v>
      </c>
      <c r="AE35" s="18"/>
    </row>
    <row r="36" customFormat="false" ht="30" hidden="false" customHeight="true" outlineLevel="0" collapsed="false">
      <c r="A36" s="18" t="s">
        <v>211</v>
      </c>
      <c r="B36" s="18"/>
      <c r="C36" s="18"/>
      <c r="D36" s="18"/>
      <c r="E36" s="18"/>
      <c r="F36" s="18" t="s">
        <v>150</v>
      </c>
      <c r="G36" s="24" t="n">
        <v>0</v>
      </c>
      <c r="H36" s="24" t="s">
        <v>151</v>
      </c>
      <c r="I36" s="24" t="n">
        <v>0</v>
      </c>
      <c r="J36" s="24" t="n">
        <v>1</v>
      </c>
      <c r="K36" s="24" t="n">
        <v>0</v>
      </c>
      <c r="L36" s="24" t="n">
        <v>0</v>
      </c>
      <c r="M36" s="24" t="n">
        <v>0</v>
      </c>
      <c r="N36" s="24" t="n">
        <v>0</v>
      </c>
      <c r="O36" s="24" t="n">
        <v>0</v>
      </c>
      <c r="P36" s="24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5" t="n">
        <f aca="false">SUM(K36:N36)</f>
        <v>0</v>
      </c>
      <c r="X36" s="25" t="n">
        <f aca="false">SUM(O36:R36)</f>
        <v>0</v>
      </c>
      <c r="Y36" s="25" t="n">
        <f aca="false">SUM(S36:V36)</f>
        <v>0</v>
      </c>
      <c r="Z36" s="25" t="n">
        <f aca="false">IF(F36="Monthly",SUM(K36:V36),IF(F36="Unit-based",G36*I36*J36,IF(F36="Manual Annual",SUM(K36:V36),0)))</f>
        <v>0</v>
      </c>
      <c r="AA36" s="24" t="n">
        <v>0</v>
      </c>
      <c r="AB36" s="26" t="n">
        <f aca="false">IFERROR((Z36-AA36)/AA36,0)</f>
        <v>0</v>
      </c>
      <c r="AC36" s="18" t="s">
        <v>152</v>
      </c>
      <c r="AD36" s="18" t="s">
        <v>149</v>
      </c>
      <c r="AE36" s="18"/>
    </row>
    <row r="37" customFormat="false" ht="30" hidden="false" customHeight="true" outlineLevel="0" collapsed="false">
      <c r="A37" s="18" t="s">
        <v>212</v>
      </c>
      <c r="B37" s="18"/>
      <c r="C37" s="18"/>
      <c r="D37" s="18"/>
      <c r="E37" s="18"/>
      <c r="F37" s="18" t="s">
        <v>150</v>
      </c>
      <c r="G37" s="24" t="n">
        <v>0</v>
      </c>
      <c r="H37" s="24" t="s">
        <v>151</v>
      </c>
      <c r="I37" s="24" t="n">
        <v>0</v>
      </c>
      <c r="J37" s="24" t="n">
        <v>1</v>
      </c>
      <c r="K37" s="24" t="n">
        <v>0</v>
      </c>
      <c r="L37" s="24" t="n">
        <v>0</v>
      </c>
      <c r="M37" s="24" t="n">
        <v>0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0</v>
      </c>
      <c r="U37" s="24" t="n">
        <v>0</v>
      </c>
      <c r="V37" s="24" t="n">
        <v>0</v>
      </c>
      <c r="W37" s="25" t="n">
        <f aca="false">SUM(K37:N37)</f>
        <v>0</v>
      </c>
      <c r="X37" s="25" t="n">
        <f aca="false">SUM(O37:R37)</f>
        <v>0</v>
      </c>
      <c r="Y37" s="25" t="n">
        <f aca="false">SUM(S37:V37)</f>
        <v>0</v>
      </c>
      <c r="Z37" s="25" t="n">
        <f aca="false">IF(F37="Monthly",SUM(K37:V37),IF(F37="Unit-based",G37*I37*J37,IF(F37="Manual Annual",SUM(K37:V37),0)))</f>
        <v>0</v>
      </c>
      <c r="AA37" s="24" t="n">
        <v>0</v>
      </c>
      <c r="AB37" s="26" t="n">
        <f aca="false">IFERROR((Z37-AA37)/AA37,0)</f>
        <v>0</v>
      </c>
      <c r="AC37" s="18" t="s">
        <v>152</v>
      </c>
      <c r="AD37" s="18" t="s">
        <v>149</v>
      </c>
      <c r="AE37" s="18"/>
    </row>
    <row r="38" customFormat="false" ht="30" hidden="false" customHeight="true" outlineLevel="0" collapsed="false">
      <c r="A38" s="18" t="s">
        <v>213</v>
      </c>
      <c r="B38" s="18"/>
      <c r="C38" s="18"/>
      <c r="D38" s="18"/>
      <c r="E38" s="18"/>
      <c r="F38" s="18" t="s">
        <v>150</v>
      </c>
      <c r="G38" s="24" t="n">
        <v>0</v>
      </c>
      <c r="H38" s="24" t="s">
        <v>151</v>
      </c>
      <c r="I38" s="24" t="n">
        <v>0</v>
      </c>
      <c r="J38" s="24" t="n">
        <v>1</v>
      </c>
      <c r="K38" s="24" t="n">
        <v>0</v>
      </c>
      <c r="L38" s="24" t="n">
        <v>0</v>
      </c>
      <c r="M38" s="24" t="n">
        <v>0</v>
      </c>
      <c r="N38" s="24" t="n">
        <v>0</v>
      </c>
      <c r="O38" s="24" t="n">
        <v>0</v>
      </c>
      <c r="P38" s="24" t="n">
        <v>0</v>
      </c>
      <c r="Q38" s="24" t="n">
        <v>0</v>
      </c>
      <c r="R38" s="24" t="n">
        <v>0</v>
      </c>
      <c r="S38" s="24" t="n">
        <v>0</v>
      </c>
      <c r="T38" s="24" t="n">
        <v>0</v>
      </c>
      <c r="U38" s="24" t="n">
        <v>0</v>
      </c>
      <c r="V38" s="24" t="n">
        <v>0</v>
      </c>
      <c r="W38" s="25" t="n">
        <f aca="false">SUM(K38:N38)</f>
        <v>0</v>
      </c>
      <c r="X38" s="25" t="n">
        <f aca="false">SUM(O38:R38)</f>
        <v>0</v>
      </c>
      <c r="Y38" s="25" t="n">
        <f aca="false">SUM(S38:V38)</f>
        <v>0</v>
      </c>
      <c r="Z38" s="25" t="n">
        <f aca="false">IF(F38="Monthly",SUM(K38:V38),IF(F38="Unit-based",G38*I38*J38,IF(F38="Manual Annual",SUM(K38:V38),0)))</f>
        <v>0</v>
      </c>
      <c r="AA38" s="24" t="n">
        <v>0</v>
      </c>
      <c r="AB38" s="26" t="n">
        <f aca="false">IFERROR((Z38-AA38)/AA38,0)</f>
        <v>0</v>
      </c>
      <c r="AC38" s="18" t="s">
        <v>152</v>
      </c>
      <c r="AD38" s="18" t="s">
        <v>149</v>
      </c>
      <c r="AE38" s="18"/>
    </row>
    <row r="39" customFormat="false" ht="30" hidden="false" customHeight="true" outlineLevel="0" collapsed="false">
      <c r="A39" s="18" t="s">
        <v>214</v>
      </c>
      <c r="B39" s="18"/>
      <c r="C39" s="18"/>
      <c r="D39" s="18"/>
      <c r="E39" s="18"/>
      <c r="F39" s="18" t="s">
        <v>150</v>
      </c>
      <c r="G39" s="24" t="n">
        <v>0</v>
      </c>
      <c r="H39" s="24" t="s">
        <v>151</v>
      </c>
      <c r="I39" s="24" t="n">
        <v>0</v>
      </c>
      <c r="J39" s="24" t="n">
        <v>1</v>
      </c>
      <c r="K39" s="24" t="n">
        <v>0</v>
      </c>
      <c r="L39" s="24" t="n">
        <v>0</v>
      </c>
      <c r="M39" s="24" t="n">
        <v>0</v>
      </c>
      <c r="N39" s="24" t="n">
        <v>0</v>
      </c>
      <c r="O39" s="24" t="n">
        <v>0</v>
      </c>
      <c r="P39" s="24" t="n">
        <v>0</v>
      </c>
      <c r="Q39" s="24" t="n">
        <v>0</v>
      </c>
      <c r="R39" s="24" t="n">
        <v>0</v>
      </c>
      <c r="S39" s="24" t="n">
        <v>0</v>
      </c>
      <c r="T39" s="24" t="n">
        <v>0</v>
      </c>
      <c r="U39" s="24" t="n">
        <v>0</v>
      </c>
      <c r="V39" s="24" t="n">
        <v>0</v>
      </c>
      <c r="W39" s="25" t="n">
        <f aca="false">SUM(K39:N39)</f>
        <v>0</v>
      </c>
      <c r="X39" s="25" t="n">
        <f aca="false">SUM(O39:R39)</f>
        <v>0</v>
      </c>
      <c r="Y39" s="25" t="n">
        <f aca="false">SUM(S39:V39)</f>
        <v>0</v>
      </c>
      <c r="Z39" s="25" t="n">
        <f aca="false">IF(F39="Monthly",SUM(K39:V39),IF(F39="Unit-based",G39*I39*J39,IF(F39="Manual Annual",SUM(K39:V39),0)))</f>
        <v>0</v>
      </c>
      <c r="AA39" s="24" t="n">
        <v>0</v>
      </c>
      <c r="AB39" s="26" t="n">
        <f aca="false">IFERROR((Z39-AA39)/AA39,0)</f>
        <v>0</v>
      </c>
      <c r="AC39" s="18" t="s">
        <v>152</v>
      </c>
      <c r="AD39" s="18" t="s">
        <v>149</v>
      </c>
      <c r="AE39" s="18"/>
    </row>
    <row r="40" customFormat="false" ht="30" hidden="false" customHeight="true" outlineLevel="0" collapsed="false">
      <c r="A40" s="18" t="s">
        <v>215</v>
      </c>
      <c r="B40" s="18"/>
      <c r="C40" s="18"/>
      <c r="D40" s="18"/>
      <c r="E40" s="18"/>
      <c r="F40" s="18" t="s">
        <v>150</v>
      </c>
      <c r="G40" s="24" t="n">
        <v>0</v>
      </c>
      <c r="H40" s="24" t="s">
        <v>151</v>
      </c>
      <c r="I40" s="24" t="n">
        <v>0</v>
      </c>
      <c r="J40" s="24" t="n">
        <v>1</v>
      </c>
      <c r="K40" s="24" t="n">
        <v>0</v>
      </c>
      <c r="L40" s="24" t="n">
        <v>0</v>
      </c>
      <c r="M40" s="24" t="n">
        <v>0</v>
      </c>
      <c r="N40" s="24" t="n">
        <v>0</v>
      </c>
      <c r="O40" s="24" t="n">
        <v>0</v>
      </c>
      <c r="P40" s="24" t="n">
        <v>0</v>
      </c>
      <c r="Q40" s="24" t="n">
        <v>0</v>
      </c>
      <c r="R40" s="24" t="n">
        <v>0</v>
      </c>
      <c r="S40" s="24" t="n">
        <v>0</v>
      </c>
      <c r="T40" s="24" t="n">
        <v>0</v>
      </c>
      <c r="U40" s="24" t="n">
        <v>0</v>
      </c>
      <c r="V40" s="24" t="n">
        <v>0</v>
      </c>
      <c r="W40" s="25" t="n">
        <f aca="false">SUM(K40:N40)</f>
        <v>0</v>
      </c>
      <c r="X40" s="25" t="n">
        <f aca="false">SUM(O40:R40)</f>
        <v>0</v>
      </c>
      <c r="Y40" s="25" t="n">
        <f aca="false">SUM(S40:V40)</f>
        <v>0</v>
      </c>
      <c r="Z40" s="25" t="n">
        <f aca="false">IF(F40="Monthly",SUM(K40:V40),IF(F40="Unit-based",G40*I40*J40,IF(F40="Manual Annual",SUM(K40:V40),0)))</f>
        <v>0</v>
      </c>
      <c r="AA40" s="24" t="n">
        <v>0</v>
      </c>
      <c r="AB40" s="26" t="n">
        <f aca="false">IFERROR((Z40-AA40)/AA40,0)</f>
        <v>0</v>
      </c>
      <c r="AC40" s="18" t="s">
        <v>152</v>
      </c>
      <c r="AD40" s="18" t="s">
        <v>149</v>
      </c>
      <c r="AE40" s="18"/>
    </row>
    <row r="42" customFormat="false" ht="15" hidden="false" customHeight="false" outlineLevel="0" collapsed="false">
      <c r="T42" s="28" t="s">
        <v>216</v>
      </c>
      <c r="U42" s="28"/>
      <c r="V42" s="28"/>
      <c r="W42" s="28"/>
      <c r="X42" s="28"/>
      <c r="Y42" s="28"/>
      <c r="Z42" s="29" t="n">
        <f aca="false">SUMIF($B$6:$B$40,"INCOME",$Z$6:$Z$40)</f>
        <v>0</v>
      </c>
    </row>
    <row r="43" customFormat="false" ht="15" hidden="false" customHeight="false" outlineLevel="0" collapsed="false">
      <c r="T43" s="30" t="s">
        <v>217</v>
      </c>
      <c r="U43" s="30"/>
      <c r="V43" s="30"/>
      <c r="W43" s="30"/>
      <c r="X43" s="30"/>
      <c r="Y43" s="30"/>
      <c r="Z43" s="31" t="n">
        <f aca="false">SUMIF($B$6:$B$40,"OPERATING EXPENSES",$Z$6:$Z$40)</f>
        <v>0</v>
      </c>
    </row>
    <row r="44" customFormat="false" ht="15" hidden="false" customHeight="false" outlineLevel="0" collapsed="false">
      <c r="T44" s="30" t="s">
        <v>218</v>
      </c>
      <c r="U44" s="30"/>
      <c r="V44" s="30"/>
      <c r="W44" s="30"/>
      <c r="X44" s="30"/>
      <c r="Y44" s="30"/>
      <c r="Z44" s="31" t="n">
        <f aca="false">SUMIF($B$6:$B$40,"ADMINISTRATIVE COSTS",$Z$6:$Z$40)</f>
        <v>0</v>
      </c>
    </row>
    <row r="45" customFormat="false" ht="15" hidden="false" customHeight="false" outlineLevel="0" collapsed="false">
      <c r="T45" s="30" t="s">
        <v>219</v>
      </c>
      <c r="U45" s="30"/>
      <c r="V45" s="30"/>
      <c r="W45" s="30"/>
      <c r="X45" s="30"/>
      <c r="Y45" s="30"/>
      <c r="Z45" s="31" t="n">
        <f aca="false">SUMIF($B$6:$B$40,"FINANCE COSTS",$Z$6:$Z$40)</f>
        <v>0</v>
      </c>
    </row>
    <row r="46" customFormat="false" ht="15" hidden="false" customHeight="false" outlineLevel="0" collapsed="false">
      <c r="T46" s="32" t="s">
        <v>220</v>
      </c>
      <c r="U46" s="32"/>
      <c r="V46" s="32"/>
      <c r="W46" s="32"/>
      <c r="X46" s="32"/>
      <c r="Y46" s="32"/>
      <c r="Z46" s="33" t="n">
        <f aca="false">SUM(Z43:Z45)</f>
        <v>0</v>
      </c>
    </row>
    <row r="47" customFormat="false" ht="15" hidden="false" customHeight="false" outlineLevel="0" collapsed="false">
      <c r="T47" s="34" t="s">
        <v>221</v>
      </c>
      <c r="U47" s="34"/>
      <c r="V47" s="34"/>
      <c r="W47" s="34"/>
      <c r="X47" s="34"/>
      <c r="Y47" s="34"/>
      <c r="Z47" s="35" t="n">
        <f aca="false">Z42-Z46</f>
        <v>0</v>
      </c>
    </row>
  </sheetData>
  <autoFilter ref="A5:AE40"/>
  <mergeCells count="7">
    <mergeCell ref="A1:AE1"/>
    <mergeCell ref="T42:Y42"/>
    <mergeCell ref="T43:Y43"/>
    <mergeCell ref="T44:Y44"/>
    <mergeCell ref="T45:Y45"/>
    <mergeCell ref="T46:Y46"/>
    <mergeCell ref="T47:Y47"/>
  </mergeCells>
  <conditionalFormatting sqref="AB6:AB40">
    <cfRule type="cellIs" priority="2" operator="greaterThan" aboveAverage="0" equalAverage="0" bottom="0" percent="0" rank="0" text="" dxfId="6">
      <formula>0.2</formula>
    </cfRule>
    <cfRule type="cellIs" priority="3" operator="lessThan" aboveAverage="0" equalAverage="0" bottom="0" percent="0" rank="0" text="" dxfId="7">
      <formula>-0.2</formula>
    </cfRule>
  </conditionalFormatting>
  <dataValidations count="5">
    <dataValidation allowBlank="true" errorStyle="stop" operator="between" showDropDown="false" showErrorMessage="false" showInputMessage="false" sqref="F6:F40" type="list">
      <formula1>LISTS!$E$2:$E$4</formula1>
      <formula2>0</formula2>
    </dataValidation>
    <dataValidation allowBlank="true" errorStyle="stop" operator="between" showDropDown="false" showErrorMessage="false" showInputMessage="false" sqref="H6:H40" type="list">
      <formula1>LISTS!$I$2:$I$15</formula1>
      <formula2>0</formula2>
    </dataValidation>
    <dataValidation allowBlank="true" errorStyle="stop" operator="between" showDropDown="false" showErrorMessage="false" showInputMessage="false" sqref="AC6:AC40" type="list">
      <formula1>LISTS!$F$2:$F$5</formula1>
      <formula2>0</formula2>
    </dataValidation>
    <dataValidation allowBlank="true" errorStyle="stop" operator="between" showDropDown="false" showErrorMessage="false" showInputMessage="false" sqref="AD6:AD40" type="list">
      <formula1>LISTS!$G$2:$G$6</formula1>
      <formula2>0</formula2>
    </dataValidation>
    <dataValidation allowBlank="true" errorStyle="stop" operator="between" showDropDown="false" showErrorMessage="false" showInputMessage="false" sqref="B6:B40" type="list">
      <formula1>LISTS!$K$2:$K$5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15" min="2" style="0" width="13"/>
  </cols>
  <sheetData>
    <row r="1" customFormat="false" ht="30" hidden="false" customHeight="true" outlineLevel="0" collapsed="false">
      <c r="A1" s="1" t="s">
        <v>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0" t="s">
        <v>37</v>
      </c>
      <c r="B3" s="21" t="str">
        <f aca="false">SETUP!B6</f>
        <v>Musanze</v>
      </c>
      <c r="E3" s="0" t="s">
        <v>43</v>
      </c>
      <c r="F3" s="21" t="str">
        <f aca="false">SETUP!B8</f>
        <v>2027</v>
      </c>
      <c r="I3" s="0" t="s">
        <v>55</v>
      </c>
      <c r="J3" s="21" t="str">
        <f aca="false">SETUP!B12</f>
        <v>RWF</v>
      </c>
    </row>
    <row r="5" customFormat="false" ht="15" hidden="false" customHeight="false" outlineLevel="0" collapsed="false">
      <c r="A5" s="36" t="s">
        <v>223</v>
      </c>
      <c r="B5" s="36" t="s">
        <v>126</v>
      </c>
      <c r="C5" s="36" t="s">
        <v>127</v>
      </c>
      <c r="D5" s="36" t="s">
        <v>128</v>
      </c>
      <c r="E5" s="36" t="s">
        <v>129</v>
      </c>
      <c r="F5" s="36" t="s">
        <v>130</v>
      </c>
      <c r="G5" s="36" t="s">
        <v>131</v>
      </c>
      <c r="H5" s="36" t="s">
        <v>132</v>
      </c>
      <c r="I5" s="36" t="s">
        <v>133</v>
      </c>
      <c r="J5" s="36" t="s">
        <v>134</v>
      </c>
      <c r="K5" s="36" t="s">
        <v>135</v>
      </c>
      <c r="L5" s="36" t="s">
        <v>136</v>
      </c>
      <c r="M5" s="36" t="s">
        <v>137</v>
      </c>
      <c r="N5" s="36" t="s">
        <v>224</v>
      </c>
      <c r="O5" s="36" t="s">
        <v>225</v>
      </c>
    </row>
    <row r="6" customFormat="false" ht="15" hidden="false" customHeight="false" outlineLevel="0" collapsed="false">
      <c r="A6" s="2" t="s">
        <v>226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customFormat="false" ht="15" hidden="false" customHeight="false" outlineLevel="0" collapsed="false">
      <c r="A7" s="0" t="s">
        <v>149</v>
      </c>
      <c r="B7" s="37" t="n">
        <f aca="false">SUMIFS(BUDGET_PLAN!$K$6:$K$40,BUDGET_PLAN!$C$6:$C$40,$A7)</f>
        <v>0</v>
      </c>
      <c r="C7" s="37" t="n">
        <f aca="false">SUMIFS(BUDGET_PLAN!$L$6:$L$40,BUDGET_PLAN!$C$6:$C$40,$A7)</f>
        <v>0</v>
      </c>
      <c r="D7" s="37" t="n">
        <f aca="false">SUMIFS(BUDGET_PLAN!$M$6:$M$40,BUDGET_PLAN!$C$6:$C$40,$A7)</f>
        <v>0</v>
      </c>
      <c r="E7" s="37" t="n">
        <f aca="false">SUMIFS(BUDGET_PLAN!$N$6:$N$40,BUDGET_PLAN!$C$6:$C$40,$A7)</f>
        <v>0</v>
      </c>
      <c r="F7" s="37" t="n">
        <f aca="false">SUMIFS(BUDGET_PLAN!$O$6:$O$40,BUDGET_PLAN!$C$6:$C$40,$A7)</f>
        <v>0</v>
      </c>
      <c r="G7" s="37" t="n">
        <f aca="false">SUMIFS(BUDGET_PLAN!$P$6:$P$40,BUDGET_PLAN!$C$6:$C$40,$A7)</f>
        <v>0</v>
      </c>
      <c r="H7" s="37" t="n">
        <f aca="false">SUMIFS(BUDGET_PLAN!$Q$6:$Q$40,BUDGET_PLAN!$C$6:$C$40,$A7)</f>
        <v>0</v>
      </c>
      <c r="I7" s="37" t="n">
        <f aca="false">SUMIFS(BUDGET_PLAN!$R$6:$R$40,BUDGET_PLAN!$C$6:$C$40,$A7)</f>
        <v>0</v>
      </c>
      <c r="J7" s="37" t="n">
        <f aca="false">SUMIFS(BUDGET_PLAN!$S$6:$S$40,BUDGET_PLAN!$C$6:$C$40,$A7)</f>
        <v>0</v>
      </c>
      <c r="K7" s="37" t="n">
        <f aca="false">SUMIFS(BUDGET_PLAN!$T$6:$T$40,BUDGET_PLAN!$C$6:$C$40,$A7)</f>
        <v>0</v>
      </c>
      <c r="L7" s="37" t="n">
        <f aca="false">SUMIFS(BUDGET_PLAN!$U$6:$U$40,BUDGET_PLAN!$C$6:$C$40,$A7)</f>
        <v>0</v>
      </c>
      <c r="M7" s="37" t="n">
        <f aca="false">SUMIFS(BUDGET_PLAN!$V$6:$V$40,BUDGET_PLAN!$C$6:$C$40,$A7)</f>
        <v>0</v>
      </c>
      <c r="N7" s="37" t="n">
        <f aca="false">SUM(B7:M7)</f>
        <v>0</v>
      </c>
      <c r="O7" s="38" t="n">
        <f aca="false">IFERROR(N7/$N$12,0)</f>
        <v>0</v>
      </c>
    </row>
    <row r="8" customFormat="false" ht="15" hidden="false" customHeight="false" outlineLevel="0" collapsed="false">
      <c r="A8" s="0" t="s">
        <v>154</v>
      </c>
      <c r="B8" s="37" t="n">
        <f aca="false">SUMIFS(BUDGET_PLAN!$K$6:$K$40,BUDGET_PLAN!$C$6:$C$40,$A8)</f>
        <v>0</v>
      </c>
      <c r="C8" s="37" t="n">
        <f aca="false">SUMIFS(BUDGET_PLAN!$L$6:$L$40,BUDGET_PLAN!$C$6:$C$40,$A8)</f>
        <v>0</v>
      </c>
      <c r="D8" s="37" t="n">
        <f aca="false">SUMIFS(BUDGET_PLAN!$M$6:$M$40,BUDGET_PLAN!$C$6:$C$40,$A8)</f>
        <v>0</v>
      </c>
      <c r="E8" s="37" t="n">
        <f aca="false">SUMIFS(BUDGET_PLAN!$N$6:$N$40,BUDGET_PLAN!$C$6:$C$40,$A8)</f>
        <v>0</v>
      </c>
      <c r="F8" s="37" t="n">
        <f aca="false">SUMIFS(BUDGET_PLAN!$O$6:$O$40,BUDGET_PLAN!$C$6:$C$40,$A8)</f>
        <v>0</v>
      </c>
      <c r="G8" s="37" t="n">
        <f aca="false">SUMIFS(BUDGET_PLAN!$P$6:$P$40,BUDGET_PLAN!$C$6:$C$40,$A8)</f>
        <v>0</v>
      </c>
      <c r="H8" s="37" t="n">
        <f aca="false">SUMIFS(BUDGET_PLAN!$Q$6:$Q$40,BUDGET_PLAN!$C$6:$C$40,$A8)</f>
        <v>0</v>
      </c>
      <c r="I8" s="37" t="n">
        <f aca="false">SUMIFS(BUDGET_PLAN!$R$6:$R$40,BUDGET_PLAN!$C$6:$C$40,$A8)</f>
        <v>0</v>
      </c>
      <c r="J8" s="37" t="n">
        <f aca="false">SUMIFS(BUDGET_PLAN!$S$6:$S$40,BUDGET_PLAN!$C$6:$C$40,$A8)</f>
        <v>0</v>
      </c>
      <c r="K8" s="37" t="n">
        <f aca="false">SUMIFS(BUDGET_PLAN!$T$6:$T$40,BUDGET_PLAN!$C$6:$C$40,$A8)</f>
        <v>0</v>
      </c>
      <c r="L8" s="37" t="n">
        <f aca="false">SUMIFS(BUDGET_PLAN!$U$6:$U$40,BUDGET_PLAN!$C$6:$C$40,$A8)</f>
        <v>0</v>
      </c>
      <c r="M8" s="37" t="n">
        <f aca="false">SUMIFS(BUDGET_PLAN!$V$6:$V$40,BUDGET_PLAN!$C$6:$C$40,$A8)</f>
        <v>0</v>
      </c>
      <c r="N8" s="37" t="n">
        <f aca="false">SUM(B8:M8)</f>
        <v>0</v>
      </c>
      <c r="O8" s="38" t="n">
        <f aca="false">IFERROR(N8/$N$12,0)</f>
        <v>0</v>
      </c>
    </row>
    <row r="9" customFormat="false" ht="15" hidden="false" customHeight="false" outlineLevel="0" collapsed="false">
      <c r="A9" s="0" t="s">
        <v>156</v>
      </c>
      <c r="B9" s="37" t="n">
        <f aca="false">SUMIFS(BUDGET_PLAN!$K$6:$K$40,BUDGET_PLAN!$C$6:$C$40,$A9)</f>
        <v>0</v>
      </c>
      <c r="C9" s="37" t="n">
        <f aca="false">SUMIFS(BUDGET_PLAN!$L$6:$L$40,BUDGET_PLAN!$C$6:$C$40,$A9)</f>
        <v>0</v>
      </c>
      <c r="D9" s="37" t="n">
        <f aca="false">SUMIFS(BUDGET_PLAN!$M$6:$M$40,BUDGET_PLAN!$C$6:$C$40,$A9)</f>
        <v>0</v>
      </c>
      <c r="E9" s="37" t="n">
        <f aca="false">SUMIFS(BUDGET_PLAN!$N$6:$N$40,BUDGET_PLAN!$C$6:$C$40,$A9)</f>
        <v>0</v>
      </c>
      <c r="F9" s="37" t="n">
        <f aca="false">SUMIFS(BUDGET_PLAN!$O$6:$O$40,BUDGET_PLAN!$C$6:$C$40,$A9)</f>
        <v>0</v>
      </c>
      <c r="G9" s="37" t="n">
        <f aca="false">SUMIFS(BUDGET_PLAN!$P$6:$P$40,BUDGET_PLAN!$C$6:$C$40,$A9)</f>
        <v>0</v>
      </c>
      <c r="H9" s="37" t="n">
        <f aca="false">SUMIFS(BUDGET_PLAN!$Q$6:$Q$40,BUDGET_PLAN!$C$6:$C$40,$A9)</f>
        <v>0</v>
      </c>
      <c r="I9" s="37" t="n">
        <f aca="false">SUMIFS(BUDGET_PLAN!$R$6:$R$40,BUDGET_PLAN!$C$6:$C$40,$A9)</f>
        <v>0</v>
      </c>
      <c r="J9" s="37" t="n">
        <f aca="false">SUMIFS(BUDGET_PLAN!$S$6:$S$40,BUDGET_PLAN!$C$6:$C$40,$A9)</f>
        <v>0</v>
      </c>
      <c r="K9" s="37" t="n">
        <f aca="false">SUMIFS(BUDGET_PLAN!$T$6:$T$40,BUDGET_PLAN!$C$6:$C$40,$A9)</f>
        <v>0</v>
      </c>
      <c r="L9" s="37" t="n">
        <f aca="false">SUMIFS(BUDGET_PLAN!$U$6:$U$40,BUDGET_PLAN!$C$6:$C$40,$A9)</f>
        <v>0</v>
      </c>
      <c r="M9" s="37" t="n">
        <f aca="false">SUMIFS(BUDGET_PLAN!$V$6:$V$40,BUDGET_PLAN!$C$6:$C$40,$A9)</f>
        <v>0</v>
      </c>
      <c r="N9" s="37" t="n">
        <f aca="false">SUM(B9:M9)</f>
        <v>0</v>
      </c>
      <c r="O9" s="38" t="n">
        <f aca="false">IFERROR(N9/$N$12,0)</f>
        <v>0</v>
      </c>
    </row>
    <row r="10" customFormat="false" ht="15" hidden="false" customHeight="false" outlineLevel="0" collapsed="false">
      <c r="A10" s="0" t="s">
        <v>158</v>
      </c>
      <c r="B10" s="37" t="n">
        <f aca="false">SUMIFS(BUDGET_PLAN!$K$6:$K$40,BUDGET_PLAN!$C$6:$C$40,$A10)</f>
        <v>0</v>
      </c>
      <c r="C10" s="37" t="n">
        <f aca="false">SUMIFS(BUDGET_PLAN!$L$6:$L$40,BUDGET_PLAN!$C$6:$C$40,$A10)</f>
        <v>0</v>
      </c>
      <c r="D10" s="37" t="n">
        <f aca="false">SUMIFS(BUDGET_PLAN!$M$6:$M$40,BUDGET_PLAN!$C$6:$C$40,$A10)</f>
        <v>0</v>
      </c>
      <c r="E10" s="37" t="n">
        <f aca="false">SUMIFS(BUDGET_PLAN!$N$6:$N$40,BUDGET_PLAN!$C$6:$C$40,$A10)</f>
        <v>0</v>
      </c>
      <c r="F10" s="37" t="n">
        <f aca="false">SUMIFS(BUDGET_PLAN!$O$6:$O$40,BUDGET_PLAN!$C$6:$C$40,$A10)</f>
        <v>0</v>
      </c>
      <c r="G10" s="37" t="n">
        <f aca="false">SUMIFS(BUDGET_PLAN!$P$6:$P$40,BUDGET_PLAN!$C$6:$C$40,$A10)</f>
        <v>0</v>
      </c>
      <c r="H10" s="37" t="n">
        <f aca="false">SUMIFS(BUDGET_PLAN!$Q$6:$Q$40,BUDGET_PLAN!$C$6:$C$40,$A10)</f>
        <v>0</v>
      </c>
      <c r="I10" s="37" t="n">
        <f aca="false">SUMIFS(BUDGET_PLAN!$R$6:$R$40,BUDGET_PLAN!$C$6:$C$40,$A10)</f>
        <v>0</v>
      </c>
      <c r="J10" s="37" t="n">
        <f aca="false">SUMIFS(BUDGET_PLAN!$S$6:$S$40,BUDGET_PLAN!$C$6:$C$40,$A10)</f>
        <v>0</v>
      </c>
      <c r="K10" s="37" t="n">
        <f aca="false">SUMIFS(BUDGET_PLAN!$T$6:$T$40,BUDGET_PLAN!$C$6:$C$40,$A10)</f>
        <v>0</v>
      </c>
      <c r="L10" s="37" t="n">
        <f aca="false">SUMIFS(BUDGET_PLAN!$U$6:$U$40,BUDGET_PLAN!$C$6:$C$40,$A10)</f>
        <v>0</v>
      </c>
      <c r="M10" s="37" t="n">
        <f aca="false">SUMIFS(BUDGET_PLAN!$V$6:$V$40,BUDGET_PLAN!$C$6:$C$40,$A10)</f>
        <v>0</v>
      </c>
      <c r="N10" s="37" t="n">
        <f aca="false">SUM(B10:M10)</f>
        <v>0</v>
      </c>
      <c r="O10" s="38" t="n">
        <f aca="false">IFERROR(N10/$N$12,0)</f>
        <v>0</v>
      </c>
    </row>
    <row r="11" customFormat="false" ht="15" hidden="false" customHeight="false" outlineLevel="0" collapsed="false">
      <c r="A11" s="0" t="s">
        <v>160</v>
      </c>
      <c r="B11" s="37" t="n">
        <f aca="false">SUMIFS(BUDGET_PLAN!$K$6:$K$40,BUDGET_PLAN!$C$6:$C$40,$A11)</f>
        <v>0</v>
      </c>
      <c r="C11" s="37" t="n">
        <f aca="false">SUMIFS(BUDGET_PLAN!$L$6:$L$40,BUDGET_PLAN!$C$6:$C$40,$A11)</f>
        <v>0</v>
      </c>
      <c r="D11" s="37" t="n">
        <f aca="false">SUMIFS(BUDGET_PLAN!$M$6:$M$40,BUDGET_PLAN!$C$6:$C$40,$A11)</f>
        <v>0</v>
      </c>
      <c r="E11" s="37" t="n">
        <f aca="false">SUMIFS(BUDGET_PLAN!$N$6:$N$40,BUDGET_PLAN!$C$6:$C$40,$A11)</f>
        <v>0</v>
      </c>
      <c r="F11" s="37" t="n">
        <f aca="false">SUMIFS(BUDGET_PLAN!$O$6:$O$40,BUDGET_PLAN!$C$6:$C$40,$A11)</f>
        <v>0</v>
      </c>
      <c r="G11" s="37" t="n">
        <f aca="false">SUMIFS(BUDGET_PLAN!$P$6:$P$40,BUDGET_PLAN!$C$6:$C$40,$A11)</f>
        <v>0</v>
      </c>
      <c r="H11" s="37" t="n">
        <f aca="false">SUMIFS(BUDGET_PLAN!$Q$6:$Q$40,BUDGET_PLAN!$C$6:$C$40,$A11)</f>
        <v>0</v>
      </c>
      <c r="I11" s="37" t="n">
        <f aca="false">SUMIFS(BUDGET_PLAN!$R$6:$R$40,BUDGET_PLAN!$C$6:$C$40,$A11)</f>
        <v>0</v>
      </c>
      <c r="J11" s="37" t="n">
        <f aca="false">SUMIFS(BUDGET_PLAN!$S$6:$S$40,BUDGET_PLAN!$C$6:$C$40,$A11)</f>
        <v>0</v>
      </c>
      <c r="K11" s="37" t="n">
        <f aca="false">SUMIFS(BUDGET_PLAN!$T$6:$T$40,BUDGET_PLAN!$C$6:$C$40,$A11)</f>
        <v>0</v>
      </c>
      <c r="L11" s="37" t="n">
        <f aca="false">SUMIFS(BUDGET_PLAN!$U$6:$U$40,BUDGET_PLAN!$C$6:$C$40,$A11)</f>
        <v>0</v>
      </c>
      <c r="M11" s="37" t="n">
        <f aca="false">SUMIFS(BUDGET_PLAN!$V$6:$V$40,BUDGET_PLAN!$C$6:$C$40,$A11)</f>
        <v>0</v>
      </c>
      <c r="N11" s="37" t="n">
        <f aca="false">SUM(B11:M11)</f>
        <v>0</v>
      </c>
      <c r="O11" s="38" t="n">
        <f aca="false">IFERROR(N11/$N$12,0)</f>
        <v>0</v>
      </c>
    </row>
    <row r="12" customFormat="false" ht="15" hidden="false" customHeight="false" outlineLevel="0" collapsed="false">
      <c r="A12" s="39" t="s">
        <v>227</v>
      </c>
      <c r="B12" s="40" t="n">
        <f aca="false">SUM(B7:B11)</f>
        <v>0</v>
      </c>
      <c r="C12" s="40" t="n">
        <f aca="false">SUM(C7:C11)</f>
        <v>0</v>
      </c>
      <c r="D12" s="40" t="n">
        <f aca="false">SUM(D7:D11)</f>
        <v>0</v>
      </c>
      <c r="E12" s="40" t="n">
        <f aca="false">SUM(E7:E11)</f>
        <v>0</v>
      </c>
      <c r="F12" s="40" t="n">
        <f aca="false">SUM(F7:F11)</f>
        <v>0</v>
      </c>
      <c r="G12" s="40" t="n">
        <f aca="false">SUM(G7:G11)</f>
        <v>0</v>
      </c>
      <c r="H12" s="40" t="n">
        <f aca="false">SUM(H7:H11)</f>
        <v>0</v>
      </c>
      <c r="I12" s="40" t="n">
        <f aca="false">SUM(I7:I11)</f>
        <v>0</v>
      </c>
      <c r="J12" s="40" t="n">
        <f aca="false">SUM(J7:J11)</f>
        <v>0</v>
      </c>
      <c r="K12" s="40" t="n">
        <f aca="false">SUM(K7:K11)</f>
        <v>0</v>
      </c>
      <c r="L12" s="40" t="n">
        <f aca="false">SUM(L7:L11)</f>
        <v>0</v>
      </c>
      <c r="M12" s="40" t="n">
        <f aca="false">SUM(M7:M11)</f>
        <v>0</v>
      </c>
      <c r="N12" s="40" t="n">
        <f aca="false">SUM(B12:M12)</f>
        <v>0</v>
      </c>
      <c r="O12" s="41" t="n">
        <f aca="false">IFERROR(N12/$N$12,0)</f>
        <v>0</v>
      </c>
    </row>
    <row r="14" customFormat="false" ht="15" hidden="false" customHeight="false" outlineLevel="0" collapsed="false">
      <c r="A14" s="2" t="s">
        <v>228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15" hidden="false" customHeight="false" outlineLevel="0" collapsed="false">
      <c r="A15" s="0" t="s">
        <v>229</v>
      </c>
      <c r="B15" s="37" t="n">
        <f aca="false">SUMIFS(BUDGET_PLAN!$K$6:$K$40,BUDGET_PLAN!$B$6:$B$40,"OPERATING EXPENSES")</f>
        <v>0</v>
      </c>
      <c r="C15" s="37" t="n">
        <f aca="false">SUMIFS(BUDGET_PLAN!$L$6:$L$40,BUDGET_PLAN!$B$6:$B$40,"OPERATING EXPENSES")</f>
        <v>0</v>
      </c>
      <c r="D15" s="37" t="n">
        <f aca="false">SUMIFS(BUDGET_PLAN!$M$6:$M$40,BUDGET_PLAN!$B$6:$B$40,"OPERATING EXPENSES")</f>
        <v>0</v>
      </c>
      <c r="E15" s="37" t="n">
        <f aca="false">SUMIFS(BUDGET_PLAN!$N$6:$N$40,BUDGET_PLAN!$B$6:$B$40,"OPERATING EXPENSES")</f>
        <v>0</v>
      </c>
      <c r="F15" s="37" t="n">
        <f aca="false">SUMIFS(BUDGET_PLAN!$O$6:$O$40,BUDGET_PLAN!$B$6:$B$40,"OPERATING EXPENSES")</f>
        <v>0</v>
      </c>
      <c r="G15" s="37" t="n">
        <f aca="false">SUMIFS(BUDGET_PLAN!$P$6:$P$40,BUDGET_PLAN!$B$6:$B$40,"OPERATING EXPENSES")</f>
        <v>0</v>
      </c>
      <c r="H15" s="37" t="n">
        <f aca="false">SUMIFS(BUDGET_PLAN!$Q$6:$Q$40,BUDGET_PLAN!$B$6:$B$40,"OPERATING EXPENSES")</f>
        <v>0</v>
      </c>
      <c r="I15" s="37" t="n">
        <f aca="false">SUMIFS(BUDGET_PLAN!$R$6:$R$40,BUDGET_PLAN!$B$6:$B$40,"OPERATING EXPENSES")</f>
        <v>0</v>
      </c>
      <c r="J15" s="37" t="n">
        <f aca="false">SUMIFS(BUDGET_PLAN!$S$6:$S$40,BUDGET_PLAN!$B$6:$B$40,"OPERATING EXPENSES")</f>
        <v>0</v>
      </c>
      <c r="K15" s="37" t="n">
        <f aca="false">SUMIFS(BUDGET_PLAN!$T$6:$T$40,BUDGET_PLAN!$B$6:$B$40,"OPERATING EXPENSES")</f>
        <v>0</v>
      </c>
      <c r="L15" s="37" t="n">
        <f aca="false">SUMIFS(BUDGET_PLAN!$U$6:$U$40,BUDGET_PLAN!$B$6:$B$40,"OPERATING EXPENSES")</f>
        <v>0</v>
      </c>
      <c r="M15" s="37" t="n">
        <f aca="false">SUMIFS(BUDGET_PLAN!$V$6:$V$40,BUDGET_PLAN!$B$6:$B$40,"OPERATING EXPENSES")</f>
        <v>0</v>
      </c>
      <c r="N15" s="37" t="n">
        <f aca="false">SUM(B15:M15)</f>
        <v>0</v>
      </c>
      <c r="O15" s="38" t="n">
        <f aca="false">IFERROR(N15/$N$18,0)</f>
        <v>0</v>
      </c>
    </row>
    <row r="16" customFormat="false" ht="15" hidden="false" customHeight="false" outlineLevel="0" collapsed="false">
      <c r="A16" s="0" t="s">
        <v>230</v>
      </c>
      <c r="B16" s="37" t="n">
        <f aca="false">SUMIFS(BUDGET_PLAN!$K$6:$K$40,BUDGET_PLAN!$B$6:$B$40,"ADMINISTRATIVE COSTS")</f>
        <v>0</v>
      </c>
      <c r="C16" s="37" t="n">
        <f aca="false">SUMIFS(BUDGET_PLAN!$L$6:$L$40,BUDGET_PLAN!$B$6:$B$40,"ADMINISTRATIVE COSTS")</f>
        <v>0</v>
      </c>
      <c r="D16" s="37" t="n">
        <f aca="false">SUMIFS(BUDGET_PLAN!$M$6:$M$40,BUDGET_PLAN!$B$6:$B$40,"ADMINISTRATIVE COSTS")</f>
        <v>0</v>
      </c>
      <c r="E16" s="37" t="n">
        <f aca="false">SUMIFS(BUDGET_PLAN!$N$6:$N$40,BUDGET_PLAN!$B$6:$B$40,"ADMINISTRATIVE COSTS")</f>
        <v>0</v>
      </c>
      <c r="F16" s="37" t="n">
        <f aca="false">SUMIFS(BUDGET_PLAN!$O$6:$O$40,BUDGET_PLAN!$B$6:$B$40,"ADMINISTRATIVE COSTS")</f>
        <v>0</v>
      </c>
      <c r="G16" s="37" t="n">
        <f aca="false">SUMIFS(BUDGET_PLAN!$P$6:$P$40,BUDGET_PLAN!$B$6:$B$40,"ADMINISTRATIVE COSTS")</f>
        <v>0</v>
      </c>
      <c r="H16" s="37" t="n">
        <f aca="false">SUMIFS(BUDGET_PLAN!$Q$6:$Q$40,BUDGET_PLAN!$B$6:$B$40,"ADMINISTRATIVE COSTS")</f>
        <v>0</v>
      </c>
      <c r="I16" s="37" t="n">
        <f aca="false">SUMIFS(BUDGET_PLAN!$R$6:$R$40,BUDGET_PLAN!$B$6:$B$40,"ADMINISTRATIVE COSTS")</f>
        <v>0</v>
      </c>
      <c r="J16" s="37" t="n">
        <f aca="false">SUMIFS(BUDGET_PLAN!$S$6:$S$40,BUDGET_PLAN!$B$6:$B$40,"ADMINISTRATIVE COSTS")</f>
        <v>0</v>
      </c>
      <c r="K16" s="37" t="n">
        <f aca="false">SUMIFS(BUDGET_PLAN!$T$6:$T$40,BUDGET_PLAN!$B$6:$B$40,"ADMINISTRATIVE COSTS")</f>
        <v>0</v>
      </c>
      <c r="L16" s="37" t="n">
        <f aca="false">SUMIFS(BUDGET_PLAN!$U$6:$U$40,BUDGET_PLAN!$B$6:$B$40,"ADMINISTRATIVE COSTS")</f>
        <v>0</v>
      </c>
      <c r="M16" s="37" t="n">
        <f aca="false">SUMIFS(BUDGET_PLAN!$V$6:$V$40,BUDGET_PLAN!$B$6:$B$40,"ADMINISTRATIVE COSTS")</f>
        <v>0</v>
      </c>
      <c r="N16" s="37" t="n">
        <f aca="false">SUM(B16:M16)</f>
        <v>0</v>
      </c>
      <c r="O16" s="38" t="n">
        <f aca="false">IFERROR(N16/$N$18,0)</f>
        <v>0</v>
      </c>
    </row>
    <row r="17" customFormat="false" ht="15" hidden="false" customHeight="false" outlineLevel="0" collapsed="false">
      <c r="A17" s="0" t="s">
        <v>231</v>
      </c>
      <c r="B17" s="37" t="n">
        <f aca="false">SUMIFS(BUDGET_PLAN!$K$6:$K$40,BUDGET_PLAN!$B$6:$B$40,"FINANCE COSTS")</f>
        <v>0</v>
      </c>
      <c r="C17" s="37" t="n">
        <f aca="false">SUMIFS(BUDGET_PLAN!$L$6:$L$40,BUDGET_PLAN!$B$6:$B$40,"FINANCE COSTS")</f>
        <v>0</v>
      </c>
      <c r="D17" s="37" t="n">
        <f aca="false">SUMIFS(BUDGET_PLAN!$M$6:$M$40,BUDGET_PLAN!$B$6:$B$40,"FINANCE COSTS")</f>
        <v>0</v>
      </c>
      <c r="E17" s="37" t="n">
        <f aca="false">SUMIFS(BUDGET_PLAN!$N$6:$N$40,BUDGET_PLAN!$B$6:$B$40,"FINANCE COSTS")</f>
        <v>0</v>
      </c>
      <c r="F17" s="37" t="n">
        <f aca="false">SUMIFS(BUDGET_PLAN!$O$6:$O$40,BUDGET_PLAN!$B$6:$B$40,"FINANCE COSTS")</f>
        <v>0</v>
      </c>
      <c r="G17" s="37" t="n">
        <f aca="false">SUMIFS(BUDGET_PLAN!$P$6:$P$40,BUDGET_PLAN!$B$6:$B$40,"FINANCE COSTS")</f>
        <v>0</v>
      </c>
      <c r="H17" s="37" t="n">
        <f aca="false">SUMIFS(BUDGET_PLAN!$Q$6:$Q$40,BUDGET_PLAN!$B$6:$B$40,"FINANCE COSTS")</f>
        <v>0</v>
      </c>
      <c r="I17" s="37" t="n">
        <f aca="false">SUMIFS(BUDGET_PLAN!$R$6:$R$40,BUDGET_PLAN!$B$6:$B$40,"FINANCE COSTS")</f>
        <v>0</v>
      </c>
      <c r="J17" s="37" t="n">
        <f aca="false">SUMIFS(BUDGET_PLAN!$S$6:$S$40,BUDGET_PLAN!$B$6:$B$40,"FINANCE COSTS")</f>
        <v>0</v>
      </c>
      <c r="K17" s="37" t="n">
        <f aca="false">SUMIFS(BUDGET_PLAN!$T$6:$T$40,BUDGET_PLAN!$B$6:$B$40,"FINANCE COSTS")</f>
        <v>0</v>
      </c>
      <c r="L17" s="37" t="n">
        <f aca="false">SUMIFS(BUDGET_PLAN!$U$6:$U$40,BUDGET_PLAN!$B$6:$B$40,"FINANCE COSTS")</f>
        <v>0</v>
      </c>
      <c r="M17" s="37" t="n">
        <f aca="false">SUMIFS(BUDGET_PLAN!$V$6:$V$40,BUDGET_PLAN!$B$6:$B$40,"FINANCE COSTS")</f>
        <v>0</v>
      </c>
      <c r="N17" s="37" t="n">
        <f aca="false">SUM(B17:M17)</f>
        <v>0</v>
      </c>
      <c r="O17" s="38" t="n">
        <f aca="false">IFERROR(N17/$N$18,0)</f>
        <v>0</v>
      </c>
    </row>
    <row r="18" customFormat="false" ht="15" hidden="false" customHeight="false" outlineLevel="0" collapsed="false">
      <c r="A18" s="39" t="s">
        <v>232</v>
      </c>
      <c r="B18" s="40" t="n">
        <f aca="false">SUM(B15:B17)</f>
        <v>0</v>
      </c>
      <c r="C18" s="40" t="n">
        <f aca="false">SUM(C15:C17)</f>
        <v>0</v>
      </c>
      <c r="D18" s="40" t="n">
        <f aca="false">SUM(D15:D17)</f>
        <v>0</v>
      </c>
      <c r="E18" s="40" t="n">
        <f aca="false">SUM(E15:E17)</f>
        <v>0</v>
      </c>
      <c r="F18" s="40" t="n">
        <f aca="false">SUM(F15:F17)</f>
        <v>0</v>
      </c>
      <c r="G18" s="40" t="n">
        <f aca="false">SUM(G15:G17)</f>
        <v>0</v>
      </c>
      <c r="H18" s="40" t="n">
        <f aca="false">SUM(H15:H17)</f>
        <v>0</v>
      </c>
      <c r="I18" s="40" t="n">
        <f aca="false">SUM(I15:I17)</f>
        <v>0</v>
      </c>
      <c r="J18" s="40" t="n">
        <f aca="false">SUM(J15:J17)</f>
        <v>0</v>
      </c>
      <c r="K18" s="40" t="n">
        <f aca="false">SUM(K15:K17)</f>
        <v>0</v>
      </c>
      <c r="L18" s="40" t="n">
        <f aca="false">SUM(L15:L17)</f>
        <v>0</v>
      </c>
      <c r="M18" s="40" t="n">
        <f aca="false">SUM(M15:M17)</f>
        <v>0</v>
      </c>
      <c r="N18" s="40" t="n">
        <f aca="false">SUM(B18:M18)</f>
        <v>0</v>
      </c>
      <c r="O18" s="41" t="n">
        <f aca="false">IFERROR(N18/$N$18,0)</f>
        <v>0</v>
      </c>
    </row>
    <row r="19" customFormat="false" ht="15" hidden="false" customHeight="false" outlineLevel="0" collapsed="false">
      <c r="A19" s="42" t="s">
        <v>233</v>
      </c>
      <c r="B19" s="43" t="n">
        <f aca="false">B12-B18</f>
        <v>0</v>
      </c>
      <c r="C19" s="43" t="n">
        <f aca="false">C12-C18</f>
        <v>0</v>
      </c>
      <c r="D19" s="43" t="n">
        <f aca="false">D12-D18</f>
        <v>0</v>
      </c>
      <c r="E19" s="43" t="n">
        <f aca="false">E12-E18</f>
        <v>0</v>
      </c>
      <c r="F19" s="43" t="n">
        <f aca="false">F12-F18</f>
        <v>0</v>
      </c>
      <c r="G19" s="43" t="n">
        <f aca="false">G12-G18</f>
        <v>0</v>
      </c>
      <c r="H19" s="43" t="n">
        <f aca="false">H12-H18</f>
        <v>0</v>
      </c>
      <c r="I19" s="43" t="n">
        <f aca="false">I12-I18</f>
        <v>0</v>
      </c>
      <c r="J19" s="43" t="n">
        <f aca="false">J12-J18</f>
        <v>0</v>
      </c>
      <c r="K19" s="43" t="n">
        <f aca="false">K12-K18</f>
        <v>0</v>
      </c>
      <c r="L19" s="43" t="n">
        <f aca="false">L12-L18</f>
        <v>0</v>
      </c>
      <c r="M19" s="43" t="n">
        <f aca="false">M12-M18</f>
        <v>0</v>
      </c>
      <c r="N19" s="43" t="n">
        <f aca="false">SUM(B19:M19)</f>
        <v>0</v>
      </c>
      <c r="O19" s="44" t="n">
        <f aca="false">IFERROR(N19/$N$18,0)</f>
        <v>0</v>
      </c>
    </row>
    <row r="20" customFormat="false" ht="15" hidden="false" customHeight="false" outlineLevel="0" collapsed="false">
      <c r="A20" s="0" t="s">
        <v>234</v>
      </c>
      <c r="B20" s="17" t="n">
        <v>0</v>
      </c>
      <c r="C20" s="37" t="n">
        <f aca="false">B21</f>
        <v>0</v>
      </c>
      <c r="D20" s="37" t="n">
        <f aca="false">C21</f>
        <v>0</v>
      </c>
      <c r="E20" s="37" t="n">
        <f aca="false">D21</f>
        <v>0</v>
      </c>
      <c r="F20" s="37" t="n">
        <f aca="false">E21</f>
        <v>0</v>
      </c>
      <c r="G20" s="37" t="n">
        <f aca="false">F21</f>
        <v>0</v>
      </c>
      <c r="H20" s="37" t="n">
        <f aca="false">G21</f>
        <v>0</v>
      </c>
      <c r="I20" s="37" t="n">
        <f aca="false">H21</f>
        <v>0</v>
      </c>
      <c r="J20" s="37" t="n">
        <f aca="false">I21</f>
        <v>0</v>
      </c>
      <c r="K20" s="37" t="n">
        <f aca="false">J21</f>
        <v>0</v>
      </c>
      <c r="L20" s="37" t="n">
        <f aca="false">K21</f>
        <v>0</v>
      </c>
      <c r="M20" s="37" t="n">
        <f aca="false">L21</f>
        <v>0</v>
      </c>
      <c r="N20" s="37" t="n">
        <f aca="false">SUM(B20:M20)</f>
        <v>0</v>
      </c>
      <c r="O20" s="38" t="n">
        <f aca="false">IFERROR(N20/$N$18,0)</f>
        <v>0</v>
      </c>
    </row>
    <row r="21" customFormat="false" ht="15" hidden="false" customHeight="false" outlineLevel="0" collapsed="false">
      <c r="A21" s="42" t="s">
        <v>235</v>
      </c>
      <c r="B21" s="43" t="n">
        <f aca="false">B20+B19</f>
        <v>0</v>
      </c>
      <c r="C21" s="43" t="n">
        <f aca="false">C20+C19</f>
        <v>0</v>
      </c>
      <c r="D21" s="43" t="n">
        <f aca="false">D20+D19</f>
        <v>0</v>
      </c>
      <c r="E21" s="43" t="n">
        <f aca="false">E20+E19</f>
        <v>0</v>
      </c>
      <c r="F21" s="43" t="n">
        <f aca="false">F20+F19</f>
        <v>0</v>
      </c>
      <c r="G21" s="43" t="n">
        <f aca="false">G20+G19</f>
        <v>0</v>
      </c>
      <c r="H21" s="43" t="n">
        <f aca="false">H20+H19</f>
        <v>0</v>
      </c>
      <c r="I21" s="43" t="n">
        <f aca="false">I20+I19</f>
        <v>0</v>
      </c>
      <c r="J21" s="43" t="n">
        <f aca="false">J20+J19</f>
        <v>0</v>
      </c>
      <c r="K21" s="43" t="n">
        <f aca="false">K20+K19</f>
        <v>0</v>
      </c>
      <c r="L21" s="43" t="n">
        <f aca="false">L20+L19</f>
        <v>0</v>
      </c>
      <c r="M21" s="43" t="n">
        <f aca="false">M20+M19</f>
        <v>0</v>
      </c>
      <c r="N21" s="43" t="n">
        <f aca="false">SUM(B21:M21)</f>
        <v>0</v>
      </c>
      <c r="O21" s="44" t="n">
        <f aca="false">IFERROR(N21/$N$18,0)</f>
        <v>0</v>
      </c>
    </row>
    <row r="22" customFormat="false" ht="15" hidden="false" customHeight="false" outlineLevel="0" collapsed="false">
      <c r="A22" s="0" t="s">
        <v>87</v>
      </c>
      <c r="B22" s="37" t="n">
        <f aca="false">SETUP!B30</f>
        <v>0</v>
      </c>
      <c r="C22" s="37" t="n">
        <f aca="false">SETUP!B30</f>
        <v>0</v>
      </c>
      <c r="D22" s="37" t="n">
        <f aca="false">SETUP!B30</f>
        <v>0</v>
      </c>
      <c r="E22" s="37" t="n">
        <f aca="false">SETUP!B30</f>
        <v>0</v>
      </c>
      <c r="F22" s="37" t="n">
        <f aca="false">SETUP!B30</f>
        <v>0</v>
      </c>
      <c r="G22" s="37" t="n">
        <f aca="false">SETUP!B30</f>
        <v>0</v>
      </c>
      <c r="H22" s="37" t="n">
        <f aca="false">SETUP!B30</f>
        <v>0</v>
      </c>
      <c r="I22" s="37" t="n">
        <f aca="false">SETUP!B30</f>
        <v>0</v>
      </c>
      <c r="J22" s="37" t="n">
        <f aca="false">SETUP!B30</f>
        <v>0</v>
      </c>
      <c r="K22" s="37" t="n">
        <f aca="false">SETUP!B30</f>
        <v>0</v>
      </c>
      <c r="L22" s="37" t="n">
        <f aca="false">SETUP!B30</f>
        <v>0</v>
      </c>
      <c r="M22" s="37" t="n">
        <f aca="false">SETUP!B30</f>
        <v>0</v>
      </c>
      <c r="N22" s="37" t="n">
        <f aca="false">SUM(B22:M22)</f>
        <v>0</v>
      </c>
      <c r="O22" s="38" t="n">
        <f aca="false">IFERROR(N22/$N$18,0)</f>
        <v>0</v>
      </c>
    </row>
    <row r="23" customFormat="false" ht="15" hidden="false" customHeight="false" outlineLevel="0" collapsed="false">
      <c r="A23" s="45" t="s">
        <v>236</v>
      </c>
      <c r="B23" s="46" t="n">
        <f aca="false">B21-B22</f>
        <v>0</v>
      </c>
      <c r="C23" s="46" t="n">
        <f aca="false">C21-C22</f>
        <v>0</v>
      </c>
      <c r="D23" s="46" t="n">
        <f aca="false">D21-D22</f>
        <v>0</v>
      </c>
      <c r="E23" s="46" t="n">
        <f aca="false">E21-E22</f>
        <v>0</v>
      </c>
      <c r="F23" s="46" t="n">
        <f aca="false">F21-F22</f>
        <v>0</v>
      </c>
      <c r="G23" s="46" t="n">
        <f aca="false">G21-G22</f>
        <v>0</v>
      </c>
      <c r="H23" s="46" t="n">
        <f aca="false">H21-H22</f>
        <v>0</v>
      </c>
      <c r="I23" s="46" t="n">
        <f aca="false">I21-I22</f>
        <v>0</v>
      </c>
      <c r="J23" s="46" t="n">
        <f aca="false">J21-J22</f>
        <v>0</v>
      </c>
      <c r="K23" s="46" t="n">
        <f aca="false">K21-K22</f>
        <v>0</v>
      </c>
      <c r="L23" s="46" t="n">
        <f aca="false">L21-L22</f>
        <v>0</v>
      </c>
      <c r="M23" s="46" t="n">
        <f aca="false">M21-M22</f>
        <v>0</v>
      </c>
      <c r="N23" s="46" t="n">
        <f aca="false">SUM(B23:M23)</f>
        <v>0</v>
      </c>
      <c r="O23" s="47" t="n">
        <f aca="false">IFERROR(N23/$N$18,0)</f>
        <v>0</v>
      </c>
    </row>
  </sheetData>
  <mergeCells count="3">
    <mergeCell ref="A1:P1"/>
    <mergeCell ref="A6:O6"/>
    <mergeCell ref="A14:O14"/>
  </mergeCells>
  <conditionalFormatting sqref="B23:M23">
    <cfRule type="cellIs" priority="2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5" min="3" style="0" width="18"/>
    <col collapsed="false" customWidth="true" hidden="false" outlineLevel="0" max="6" min="6" style="0" width="16"/>
    <col collapsed="false" customWidth="true" hidden="false" outlineLevel="0" max="7" min="7" style="0" width="4"/>
    <col collapsed="false" customWidth="true" hidden="false" outlineLevel="0" max="9" min="8" style="0" width="18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4" min="13" style="0" width="14"/>
  </cols>
  <sheetData>
    <row r="1" customFormat="false" ht="30" hidden="false" customHeight="true" outlineLevel="0" collapsed="false">
      <c r="A1" s="1" t="s">
        <v>237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15" hidden="false" customHeight="false" outlineLevel="0" collapsed="false">
      <c r="A3" s="48" t="s">
        <v>238</v>
      </c>
      <c r="B3" s="48"/>
      <c r="D3" s="48" t="s">
        <v>239</v>
      </c>
      <c r="E3" s="48"/>
      <c r="G3" s="48" t="s">
        <v>240</v>
      </c>
      <c r="H3" s="48"/>
      <c r="J3" s="48" t="s">
        <v>241</v>
      </c>
      <c r="K3" s="48"/>
    </row>
    <row r="4" customFormat="false" ht="15" hidden="false" customHeight="false" outlineLevel="0" collapsed="false">
      <c r="A4" s="49" t="n">
        <f aca="false">BUDGET_PLAN!Z42</f>
        <v>0</v>
      </c>
      <c r="B4" s="49"/>
      <c r="D4" s="50" t="n">
        <f aca="false">BUDGET_PLAN!Z46</f>
        <v>0</v>
      </c>
      <c r="E4" s="50"/>
      <c r="G4" s="51" t="n">
        <f aca="false">BUDGET_PLAN!Z47</f>
        <v>0</v>
      </c>
      <c r="H4" s="51"/>
      <c r="J4" s="52" t="n">
        <f aca="false">IFERROR(BUDGET_PLAN!Z42/BUDGET_PLAN!Z46,0)</f>
        <v>0</v>
      </c>
      <c r="K4" s="52"/>
    </row>
    <row r="5" customFormat="false" ht="15" hidden="false" customHeight="false" outlineLevel="0" collapsed="false">
      <c r="A5" s="49"/>
      <c r="B5" s="49"/>
      <c r="D5" s="50"/>
      <c r="E5" s="50"/>
      <c r="G5" s="51"/>
      <c r="H5" s="51"/>
      <c r="J5" s="52"/>
      <c r="K5" s="52"/>
    </row>
    <row r="8" customFormat="false" ht="21.75" hidden="false" customHeight="true" outlineLevel="0" collapsed="false">
      <c r="A8" s="4" t="s">
        <v>242</v>
      </c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53" t="s">
        <v>118</v>
      </c>
      <c r="B9" s="53" t="s">
        <v>141</v>
      </c>
      <c r="C9" s="53" t="s">
        <v>225</v>
      </c>
      <c r="D9" s="53" t="s">
        <v>142</v>
      </c>
      <c r="E9" s="53" t="s">
        <v>143</v>
      </c>
      <c r="F9" s="53" t="s">
        <v>116</v>
      </c>
    </row>
    <row r="10" customFormat="false" ht="15" hidden="false" customHeight="false" outlineLevel="0" collapsed="false">
      <c r="A10" s="0" t="s">
        <v>148</v>
      </c>
      <c r="B10" s="37" t="n">
        <f aca="false">SUMIF(BUDGET_PLAN!$B$6:$B$40,A10,BUDGET_PLAN!$Z$6:$Z$40)</f>
        <v>0</v>
      </c>
      <c r="C10" s="38" t="n">
        <f aca="false">IFERROR(B10/SUM($B$10:$B$13),0)</f>
        <v>0</v>
      </c>
      <c r="D10" s="37" t="n">
        <f aca="false">SUMIF(BUDGET_PLAN!$B$6:$B$40,A10,BUDGET_PLAN!$AA$6:$AA$40)</f>
        <v>0</v>
      </c>
      <c r="E10" s="37" t="n">
        <f aca="false">B10-D10</f>
        <v>0</v>
      </c>
      <c r="F10" s="0" t="str">
        <f aca="false">IF(E10&gt;0,"Increase",IF(E10&lt;0,"Decrease","No change"))</f>
        <v>No change</v>
      </c>
    </row>
    <row r="11" customFormat="false" ht="15" hidden="false" customHeight="false" outlineLevel="0" collapsed="false">
      <c r="A11" s="0" t="s">
        <v>162</v>
      </c>
      <c r="B11" s="37" t="n">
        <f aca="false">SUMIF(BUDGET_PLAN!$B$6:$B$40,A11,BUDGET_PLAN!$Z$6:$Z$40)</f>
        <v>0</v>
      </c>
      <c r="C11" s="38" t="n">
        <f aca="false">IFERROR(B11/SUM($B$10:$B$13),0)</f>
        <v>0</v>
      </c>
      <c r="D11" s="37" t="n">
        <f aca="false">SUMIF(BUDGET_PLAN!$B$6:$B$40,A11,BUDGET_PLAN!$AA$6:$AA$40)</f>
        <v>0</v>
      </c>
      <c r="E11" s="37" t="n">
        <f aca="false">B11-D11</f>
        <v>0</v>
      </c>
      <c r="F11" s="0" t="str">
        <f aca="false">IF(E11&gt;0,"Increase",IF(E11&lt;0,"Decrease","No change"))</f>
        <v>No change</v>
      </c>
    </row>
    <row r="12" customFormat="false" ht="15" hidden="false" customHeight="false" outlineLevel="0" collapsed="false">
      <c r="A12" s="0" t="s">
        <v>197</v>
      </c>
      <c r="B12" s="37" t="n">
        <f aca="false">SUMIF(BUDGET_PLAN!$B$6:$B$40,A12,BUDGET_PLAN!$Z$6:$Z$40)</f>
        <v>0</v>
      </c>
      <c r="C12" s="38" t="n">
        <f aca="false">IFERROR(B12/SUM($B$10:$B$13),0)</f>
        <v>0</v>
      </c>
      <c r="D12" s="37" t="n">
        <f aca="false">SUMIF(BUDGET_PLAN!$B$6:$B$40,A12,BUDGET_PLAN!$AA$6:$AA$40)</f>
        <v>0</v>
      </c>
      <c r="E12" s="37" t="n">
        <f aca="false">B12-D12</f>
        <v>0</v>
      </c>
      <c r="F12" s="0" t="str">
        <f aca="false">IF(E12&gt;0,"Increase",IF(E12&lt;0,"Decrease","No change"))</f>
        <v>No change</v>
      </c>
    </row>
    <row r="13" customFormat="false" ht="15" hidden="false" customHeight="false" outlineLevel="0" collapsed="false">
      <c r="A13" s="0" t="s">
        <v>204</v>
      </c>
      <c r="B13" s="37" t="n">
        <f aca="false">SUMIF(BUDGET_PLAN!$B$6:$B$40,A13,BUDGET_PLAN!$Z$6:$Z$40)</f>
        <v>0</v>
      </c>
      <c r="C13" s="38" t="n">
        <f aca="false">IFERROR(B13/SUM($B$10:$B$13),0)</f>
        <v>0</v>
      </c>
      <c r="D13" s="37" t="n">
        <f aca="false">SUMIF(BUDGET_PLAN!$B$6:$B$40,A13,BUDGET_PLAN!$AA$6:$AA$40)</f>
        <v>0</v>
      </c>
      <c r="E13" s="37" t="n">
        <f aca="false">B13-D13</f>
        <v>0</v>
      </c>
      <c r="F13" s="0" t="str">
        <f aca="false">IF(E13&gt;0,"Increase",IF(E13&lt;0,"Decrease","No change"))</f>
        <v>No change</v>
      </c>
    </row>
    <row r="16" customFormat="false" ht="21.75" hidden="false" customHeight="true" outlineLevel="0" collapsed="false">
      <c r="A16" s="4" t="s">
        <v>243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customFormat="false" ht="15" hidden="false" customHeight="false" outlineLevel="0" collapsed="false">
      <c r="B17" s="54" t="s">
        <v>126</v>
      </c>
      <c r="C17" s="54" t="s">
        <v>127</v>
      </c>
      <c r="D17" s="54" t="s">
        <v>128</v>
      </c>
      <c r="E17" s="54" t="s">
        <v>129</v>
      </c>
      <c r="F17" s="54" t="s">
        <v>130</v>
      </c>
      <c r="G17" s="54" t="s">
        <v>131</v>
      </c>
      <c r="H17" s="54" t="s">
        <v>132</v>
      </c>
      <c r="I17" s="54" t="s">
        <v>133</v>
      </c>
      <c r="J17" s="54" t="s">
        <v>134</v>
      </c>
      <c r="K17" s="54" t="s">
        <v>135</v>
      </c>
      <c r="L17" s="54" t="s">
        <v>136</v>
      </c>
      <c r="M17" s="54" t="s">
        <v>137</v>
      </c>
    </row>
    <row r="18" customFormat="false" ht="15" hidden="false" customHeight="false" outlineLevel="0" collapsed="false">
      <c r="A18" s="0" t="s">
        <v>244</v>
      </c>
      <c r="B18" s="37" t="n">
        <f aca="false">CASH_FLOW!B19</f>
        <v>0</v>
      </c>
      <c r="C18" s="37" t="n">
        <f aca="false">CASH_FLOW!C19</f>
        <v>0</v>
      </c>
      <c r="D18" s="37" t="n">
        <f aca="false">CASH_FLOW!D19</f>
        <v>0</v>
      </c>
      <c r="E18" s="37" t="n">
        <f aca="false">CASH_FLOW!E19</f>
        <v>0</v>
      </c>
      <c r="F18" s="37" t="n">
        <f aca="false">CASH_FLOW!F19</f>
        <v>0</v>
      </c>
      <c r="G18" s="37" t="n">
        <f aca="false">CASH_FLOW!G19</f>
        <v>0</v>
      </c>
      <c r="H18" s="37" t="n">
        <f aca="false">CASH_FLOW!H19</f>
        <v>0</v>
      </c>
      <c r="I18" s="37" t="n">
        <f aca="false">CASH_FLOW!I19</f>
        <v>0</v>
      </c>
      <c r="J18" s="37" t="n">
        <f aca="false">CASH_FLOW!J19</f>
        <v>0</v>
      </c>
      <c r="K18" s="37" t="n">
        <f aca="false">CASH_FLOW!K19</f>
        <v>0</v>
      </c>
      <c r="L18" s="37" t="n">
        <f aca="false">CASH_FLOW!L19</f>
        <v>0</v>
      </c>
      <c r="M18" s="37" t="n">
        <f aca="false">CASH_FLOW!M19</f>
        <v>0</v>
      </c>
    </row>
    <row r="36" customFormat="false" ht="21.75" hidden="false" customHeight="true" outlineLevel="0" collapsed="false">
      <c r="A36" s="4" t="s">
        <v>245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customFormat="false" ht="15" hidden="false" customHeight="false" outlineLevel="0" collapsed="false">
      <c r="A37" s="0" t="s">
        <v>246</v>
      </c>
      <c r="B37" s="7" t="s">
        <v>247</v>
      </c>
      <c r="C37" s="7"/>
      <c r="D37" s="7"/>
      <c r="E37" s="7"/>
      <c r="F37" s="7"/>
      <c r="G37" s="7"/>
      <c r="H37" s="7"/>
      <c r="I37" s="7"/>
      <c r="J37" s="15" t="s">
        <v>248</v>
      </c>
      <c r="K37" s="15" t="s">
        <v>249</v>
      </c>
      <c r="L37" s="15" t="s">
        <v>116</v>
      </c>
    </row>
    <row r="38" customFormat="false" ht="15" hidden="false" customHeight="false" outlineLevel="0" collapsed="false">
      <c r="A38" s="0" t="s">
        <v>246</v>
      </c>
      <c r="B38" s="7" t="s">
        <v>250</v>
      </c>
      <c r="C38" s="7"/>
      <c r="D38" s="7"/>
      <c r="E38" s="7"/>
      <c r="F38" s="7"/>
      <c r="G38" s="7"/>
      <c r="H38" s="7"/>
      <c r="I38" s="7"/>
      <c r="J38" s="15" t="s">
        <v>248</v>
      </c>
      <c r="K38" s="15" t="s">
        <v>249</v>
      </c>
      <c r="L38" s="15" t="s">
        <v>116</v>
      </c>
    </row>
    <row r="39" customFormat="false" ht="15" hidden="false" customHeight="false" outlineLevel="0" collapsed="false">
      <c r="A39" s="0" t="s">
        <v>246</v>
      </c>
      <c r="B39" s="7" t="s">
        <v>251</v>
      </c>
      <c r="C39" s="7"/>
      <c r="D39" s="7"/>
      <c r="E39" s="7"/>
      <c r="F39" s="7"/>
      <c r="G39" s="7"/>
      <c r="H39" s="7"/>
      <c r="I39" s="7"/>
      <c r="J39" s="15" t="s">
        <v>248</v>
      </c>
      <c r="K39" s="15" t="s">
        <v>249</v>
      </c>
      <c r="L39" s="15" t="s">
        <v>116</v>
      </c>
    </row>
    <row r="40" customFormat="false" ht="15" hidden="false" customHeight="false" outlineLevel="0" collapsed="false">
      <c r="A40" s="0" t="s">
        <v>246</v>
      </c>
      <c r="B40" s="7" t="s">
        <v>252</v>
      </c>
      <c r="C40" s="7"/>
      <c r="D40" s="7"/>
      <c r="E40" s="7"/>
      <c r="F40" s="7"/>
      <c r="G40" s="7"/>
      <c r="H40" s="7"/>
      <c r="I40" s="7"/>
      <c r="J40" s="15" t="s">
        <v>248</v>
      </c>
      <c r="K40" s="15" t="s">
        <v>249</v>
      </c>
      <c r="L40" s="15" t="s">
        <v>116</v>
      </c>
    </row>
    <row r="41" customFormat="false" ht="15" hidden="false" customHeight="false" outlineLevel="0" collapsed="false">
      <c r="A41" s="0" t="s">
        <v>246</v>
      </c>
      <c r="B41" s="7" t="s">
        <v>253</v>
      </c>
      <c r="C41" s="7"/>
      <c r="D41" s="7"/>
      <c r="E41" s="7"/>
      <c r="F41" s="7"/>
      <c r="G41" s="7"/>
      <c r="H41" s="7"/>
      <c r="I41" s="7"/>
      <c r="J41" s="15" t="s">
        <v>248</v>
      </c>
      <c r="K41" s="15" t="s">
        <v>249</v>
      </c>
      <c r="L41" s="15" t="s">
        <v>116</v>
      </c>
    </row>
    <row r="42" customFormat="false" ht="15" hidden="false" customHeight="false" outlineLevel="0" collapsed="false">
      <c r="A42" s="0" t="s">
        <v>246</v>
      </c>
      <c r="B42" s="7" t="s">
        <v>254</v>
      </c>
      <c r="C42" s="7"/>
      <c r="D42" s="7"/>
      <c r="E42" s="7"/>
      <c r="F42" s="7"/>
      <c r="G42" s="7"/>
      <c r="H42" s="7"/>
      <c r="I42" s="7"/>
      <c r="J42" s="15" t="s">
        <v>248</v>
      </c>
      <c r="K42" s="15" t="s">
        <v>249</v>
      </c>
      <c r="L42" s="15" t="s">
        <v>116</v>
      </c>
    </row>
    <row r="43" customFormat="false" ht="15" hidden="false" customHeight="false" outlineLevel="0" collapsed="false">
      <c r="A43" s="0" t="s">
        <v>246</v>
      </c>
      <c r="B43" s="7" t="s">
        <v>255</v>
      </c>
      <c r="C43" s="7"/>
      <c r="D43" s="7"/>
      <c r="E43" s="7"/>
      <c r="F43" s="7"/>
      <c r="G43" s="7"/>
      <c r="H43" s="7"/>
      <c r="I43" s="7"/>
      <c r="J43" s="15" t="s">
        <v>248</v>
      </c>
      <c r="K43" s="15" t="s">
        <v>249</v>
      </c>
      <c r="L43" s="15" t="s">
        <v>116</v>
      </c>
    </row>
  </sheetData>
  <mergeCells count="19">
    <mergeCell ref="A1:N1"/>
    <mergeCell ref="A3:B3"/>
    <mergeCell ref="D3:E3"/>
    <mergeCell ref="G3:H3"/>
    <mergeCell ref="J3:K3"/>
    <mergeCell ref="A4:B5"/>
    <mergeCell ref="D4:E5"/>
    <mergeCell ref="G4:H5"/>
    <mergeCell ref="J4:K5"/>
    <mergeCell ref="A8:H8"/>
    <mergeCell ref="A16:N16"/>
    <mergeCell ref="A36:N36"/>
    <mergeCell ref="B37:I37"/>
    <mergeCell ref="B38:I38"/>
    <mergeCell ref="B39:I39"/>
    <mergeCell ref="B40:I40"/>
    <mergeCell ref="B41:I41"/>
    <mergeCell ref="B42:I42"/>
    <mergeCell ref="B43:I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36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2"/>
    <col collapsed="false" customWidth="true" hidden="false" outlineLevel="0" max="17" min="17" style="0" width="18"/>
    <col collapsed="false" customWidth="true" hidden="false" outlineLevel="0" max="18" min="18" style="0" width="40"/>
  </cols>
  <sheetData>
    <row r="1" customFormat="false" ht="30" hidden="false" customHeight="true" outlineLevel="0" collapsed="false">
      <c r="A1" s="1" t="s">
        <v>256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customFormat="false" ht="15" hidden="false" customHeight="true" outlineLevel="0" collapsed="false">
      <c r="A3" s="55" t="s">
        <v>257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</row>
    <row r="5" customFormat="false" ht="15" hidden="false" customHeight="false" outlineLevel="0" collapsed="false">
      <c r="A5" s="56" t="s">
        <v>258</v>
      </c>
      <c r="B5" s="56" t="s">
        <v>259</v>
      </c>
      <c r="C5" s="56" t="s">
        <v>260</v>
      </c>
      <c r="D5" s="56" t="s">
        <v>261</v>
      </c>
      <c r="E5" s="56" t="s">
        <v>262</v>
      </c>
      <c r="F5" s="56" t="s">
        <v>263</v>
      </c>
      <c r="G5" s="56" t="s">
        <v>264</v>
      </c>
      <c r="H5" s="56" t="s">
        <v>265</v>
      </c>
      <c r="I5" s="56" t="s">
        <v>266</v>
      </c>
      <c r="J5" s="56" t="s">
        <v>267</v>
      </c>
      <c r="K5" s="56" t="s">
        <v>268</v>
      </c>
      <c r="L5" s="56" t="s">
        <v>269</v>
      </c>
      <c r="M5" s="56" t="s">
        <v>270</v>
      </c>
      <c r="N5" s="56" t="s">
        <v>271</v>
      </c>
      <c r="O5" s="56" t="s">
        <v>272</v>
      </c>
      <c r="P5" s="56" t="s">
        <v>273</v>
      </c>
      <c r="Q5" s="56" t="s">
        <v>274</v>
      </c>
      <c r="R5" s="56" t="s">
        <v>275</v>
      </c>
    </row>
    <row r="6" customFormat="false" ht="15" hidden="false" customHeight="false" outlineLevel="0" collapsed="false">
      <c r="A6" s="23" t="str">
        <f aca="false">SETUP!B17</f>
        <v>1.0</v>
      </c>
      <c r="B6" s="23" t="str">
        <f aca="false">SETUP!B6</f>
        <v>Musanze</v>
      </c>
      <c r="C6" s="23" t="str">
        <f aca="false">SETUP!B8</f>
        <v>2027</v>
      </c>
      <c r="D6" s="23" t="str">
        <f aca="false">SETUP!B9</f>
        <v>Annual</v>
      </c>
      <c r="E6" s="23" t="str">
        <f aca="false">BUDGET_PLAN!A6</f>
        <v>BL-001</v>
      </c>
      <c r="F6" s="23" t="str">
        <f aca="false">BUDGET_PLAN!B6</f>
        <v>INCOME</v>
      </c>
      <c r="G6" s="23" t="str">
        <f aca="false">BUDGET_PLAN!C6</f>
        <v>School Fees</v>
      </c>
      <c r="H6" s="23" t="n">
        <f aca="false">BUDGET_PLAN!D6</f>
        <v>0</v>
      </c>
      <c r="I6" s="23" t="n">
        <f aca="false">BUDGET_PLAN!E6</f>
        <v>0</v>
      </c>
      <c r="J6" s="23" t="str">
        <f aca="false">BUDGET_PLAN!F6</f>
        <v>Monthly</v>
      </c>
      <c r="K6" s="57" t="n">
        <f aca="false">BUDGET_PLAN!G6</f>
        <v>0</v>
      </c>
      <c r="L6" s="23" t="str">
        <f aca="false">BUDGET_PLAN!H6</f>
        <v>Other</v>
      </c>
      <c r="M6" s="57" t="n">
        <f aca="false">BUDGET_PLAN!I6</f>
        <v>0</v>
      </c>
      <c r="N6" s="57" t="n">
        <f aca="false">BUDGET_PLAN!J6</f>
        <v>1</v>
      </c>
      <c r="O6" s="57" t="n">
        <f aca="false">BUDGET_PLAN!Z6</f>
        <v>0</v>
      </c>
      <c r="P6" s="23" t="str">
        <f aca="false">BUDGET_PLAN!AC6</f>
        <v>Medium</v>
      </c>
      <c r="Q6" s="23" t="str">
        <f aca="false">BUDGET_PLAN!AD6</f>
        <v>School Fees</v>
      </c>
      <c r="R6" s="58" t="n">
        <f aca="false">BUDGET_PLAN!AE6</f>
        <v>0</v>
      </c>
    </row>
    <row r="7" customFormat="false" ht="15" hidden="false" customHeight="false" outlineLevel="0" collapsed="false">
      <c r="A7" s="23" t="str">
        <f aca="false">SETUP!B17</f>
        <v>1.0</v>
      </c>
      <c r="B7" s="23" t="str">
        <f aca="false">SETUP!B6</f>
        <v>Musanze</v>
      </c>
      <c r="C7" s="23" t="str">
        <f aca="false">SETUP!B8</f>
        <v>2027</v>
      </c>
      <c r="D7" s="23" t="str">
        <f aca="false">SETUP!B9</f>
        <v>Annual</v>
      </c>
      <c r="E7" s="23" t="str">
        <f aca="false">BUDGET_PLAN!A7</f>
        <v>BL-002</v>
      </c>
      <c r="F7" s="23" t="str">
        <f aca="false">BUDGET_PLAN!B7</f>
        <v>INCOME</v>
      </c>
      <c r="G7" s="23" t="str">
        <f aca="false">BUDGET_PLAN!C7</f>
        <v>Lunch</v>
      </c>
      <c r="H7" s="23" t="n">
        <f aca="false">BUDGET_PLAN!D7</f>
        <v>0</v>
      </c>
      <c r="I7" s="23" t="n">
        <f aca="false">BUDGET_PLAN!E7</f>
        <v>0</v>
      </c>
      <c r="J7" s="23" t="str">
        <f aca="false">BUDGET_PLAN!F7</f>
        <v>Monthly</v>
      </c>
      <c r="K7" s="57" t="n">
        <f aca="false">BUDGET_PLAN!G7</f>
        <v>0</v>
      </c>
      <c r="L7" s="23" t="str">
        <f aca="false">BUDGET_PLAN!H7</f>
        <v>Other</v>
      </c>
      <c r="M7" s="57" t="n">
        <f aca="false">BUDGET_PLAN!I7</f>
        <v>0</v>
      </c>
      <c r="N7" s="57" t="n">
        <f aca="false">BUDGET_PLAN!J7</f>
        <v>1</v>
      </c>
      <c r="O7" s="57" t="n">
        <f aca="false">BUDGET_PLAN!Z7</f>
        <v>0</v>
      </c>
      <c r="P7" s="23" t="str">
        <f aca="false">BUDGET_PLAN!AC7</f>
        <v>Medium</v>
      </c>
      <c r="Q7" s="23" t="str">
        <f aca="false">BUDGET_PLAN!AD7</f>
        <v>School Fees</v>
      </c>
      <c r="R7" s="58" t="n">
        <f aca="false">BUDGET_PLAN!AE7</f>
        <v>0</v>
      </c>
    </row>
    <row r="8" customFormat="false" ht="15" hidden="false" customHeight="false" outlineLevel="0" collapsed="false">
      <c r="A8" s="23" t="str">
        <f aca="false">SETUP!B17</f>
        <v>1.0</v>
      </c>
      <c r="B8" s="23" t="str">
        <f aca="false">SETUP!B6</f>
        <v>Musanze</v>
      </c>
      <c r="C8" s="23" t="str">
        <f aca="false">SETUP!B8</f>
        <v>2027</v>
      </c>
      <c r="D8" s="23" t="str">
        <f aca="false">SETUP!B9</f>
        <v>Annual</v>
      </c>
      <c r="E8" s="23" t="str">
        <f aca="false">BUDGET_PLAN!A8</f>
        <v>BL-003</v>
      </c>
      <c r="F8" s="23" t="str">
        <f aca="false">BUDGET_PLAN!B8</f>
        <v>INCOME</v>
      </c>
      <c r="G8" s="23" t="str">
        <f aca="false">BUDGET_PLAN!C8</f>
        <v>Breakfast</v>
      </c>
      <c r="H8" s="23" t="n">
        <f aca="false">BUDGET_PLAN!D8</f>
        <v>0</v>
      </c>
      <c r="I8" s="23" t="n">
        <f aca="false">BUDGET_PLAN!E8</f>
        <v>0</v>
      </c>
      <c r="J8" s="23" t="str">
        <f aca="false">BUDGET_PLAN!F8</f>
        <v>Monthly</v>
      </c>
      <c r="K8" s="57" t="n">
        <f aca="false">BUDGET_PLAN!G8</f>
        <v>0</v>
      </c>
      <c r="L8" s="23" t="str">
        <f aca="false">BUDGET_PLAN!H8</f>
        <v>Other</v>
      </c>
      <c r="M8" s="57" t="n">
        <f aca="false">BUDGET_PLAN!I8</f>
        <v>0</v>
      </c>
      <c r="N8" s="57" t="n">
        <f aca="false">BUDGET_PLAN!J8</f>
        <v>1</v>
      </c>
      <c r="O8" s="57" t="n">
        <f aca="false">BUDGET_PLAN!Z8</f>
        <v>0</v>
      </c>
      <c r="P8" s="23" t="str">
        <f aca="false">BUDGET_PLAN!AC8</f>
        <v>Medium</v>
      </c>
      <c r="Q8" s="23" t="str">
        <f aca="false">BUDGET_PLAN!AD8</f>
        <v>School Fees</v>
      </c>
      <c r="R8" s="58" t="n">
        <f aca="false">BUDGET_PLAN!AE8</f>
        <v>0</v>
      </c>
    </row>
    <row r="9" customFormat="false" ht="15" hidden="false" customHeight="false" outlineLevel="0" collapsed="false">
      <c r="A9" s="23" t="str">
        <f aca="false">SETUP!B17</f>
        <v>1.0</v>
      </c>
      <c r="B9" s="23" t="str">
        <f aca="false">SETUP!B6</f>
        <v>Musanze</v>
      </c>
      <c r="C9" s="23" t="str">
        <f aca="false">SETUP!B8</f>
        <v>2027</v>
      </c>
      <c r="D9" s="23" t="str">
        <f aca="false">SETUP!B9</f>
        <v>Annual</v>
      </c>
      <c r="E9" s="23" t="str">
        <f aca="false">BUDGET_PLAN!A9</f>
        <v>BL-004</v>
      </c>
      <c r="F9" s="23" t="str">
        <f aca="false">BUDGET_PLAN!B9</f>
        <v>INCOME</v>
      </c>
      <c r="G9" s="23" t="str">
        <f aca="false">BUDGET_PLAN!C9</f>
        <v>Transport</v>
      </c>
      <c r="H9" s="23" t="n">
        <f aca="false">BUDGET_PLAN!D9</f>
        <v>0</v>
      </c>
      <c r="I9" s="23" t="n">
        <f aca="false">BUDGET_PLAN!E9</f>
        <v>0</v>
      </c>
      <c r="J9" s="23" t="str">
        <f aca="false">BUDGET_PLAN!F9</f>
        <v>Monthly</v>
      </c>
      <c r="K9" s="57" t="n">
        <f aca="false">BUDGET_PLAN!G9</f>
        <v>0</v>
      </c>
      <c r="L9" s="23" t="str">
        <f aca="false">BUDGET_PLAN!H9</f>
        <v>Other</v>
      </c>
      <c r="M9" s="57" t="n">
        <f aca="false">BUDGET_PLAN!I9</f>
        <v>0</v>
      </c>
      <c r="N9" s="57" t="n">
        <f aca="false">BUDGET_PLAN!J9</f>
        <v>1</v>
      </c>
      <c r="O9" s="57" t="n">
        <f aca="false">BUDGET_PLAN!Z9</f>
        <v>0</v>
      </c>
      <c r="P9" s="23" t="str">
        <f aca="false">BUDGET_PLAN!AC9</f>
        <v>Medium</v>
      </c>
      <c r="Q9" s="23" t="str">
        <f aca="false">BUDGET_PLAN!AD9</f>
        <v>School Fees</v>
      </c>
      <c r="R9" s="58" t="n">
        <f aca="false">BUDGET_PLAN!AE9</f>
        <v>0</v>
      </c>
    </row>
    <row r="10" customFormat="false" ht="15" hidden="false" customHeight="false" outlineLevel="0" collapsed="false">
      <c r="A10" s="23" t="str">
        <f aca="false">SETUP!B17</f>
        <v>1.0</v>
      </c>
      <c r="B10" s="23" t="str">
        <f aca="false">SETUP!B6</f>
        <v>Musanze</v>
      </c>
      <c r="C10" s="23" t="str">
        <f aca="false">SETUP!B8</f>
        <v>2027</v>
      </c>
      <c r="D10" s="23" t="str">
        <f aca="false">SETUP!B9</f>
        <v>Annual</v>
      </c>
      <c r="E10" s="23" t="str">
        <f aca="false">BUDGET_PLAN!A10</f>
        <v>BL-005</v>
      </c>
      <c r="F10" s="23" t="str">
        <f aca="false">BUDGET_PLAN!B10</f>
        <v>INCOME</v>
      </c>
      <c r="G10" s="23" t="str">
        <f aca="false">BUDGET_PLAN!C10</f>
        <v>Other Fees</v>
      </c>
      <c r="H10" s="23" t="n">
        <f aca="false">BUDGET_PLAN!D10</f>
        <v>0</v>
      </c>
      <c r="I10" s="23" t="n">
        <f aca="false">BUDGET_PLAN!E10</f>
        <v>0</v>
      </c>
      <c r="J10" s="23" t="str">
        <f aca="false">BUDGET_PLAN!F10</f>
        <v>Monthly</v>
      </c>
      <c r="K10" s="57" t="n">
        <f aca="false">BUDGET_PLAN!G10</f>
        <v>0</v>
      </c>
      <c r="L10" s="23" t="str">
        <f aca="false">BUDGET_PLAN!H10</f>
        <v>Other</v>
      </c>
      <c r="M10" s="57" t="n">
        <f aca="false">BUDGET_PLAN!I10</f>
        <v>0</v>
      </c>
      <c r="N10" s="57" t="n">
        <f aca="false">BUDGET_PLAN!J10</f>
        <v>1</v>
      </c>
      <c r="O10" s="57" t="n">
        <f aca="false">BUDGET_PLAN!Z10</f>
        <v>0</v>
      </c>
      <c r="P10" s="23" t="str">
        <f aca="false">BUDGET_PLAN!AC10</f>
        <v>Medium</v>
      </c>
      <c r="Q10" s="23" t="str">
        <f aca="false">BUDGET_PLAN!AD10</f>
        <v>School Fees</v>
      </c>
      <c r="R10" s="58" t="n">
        <f aca="false">BUDGET_PLAN!AE10</f>
        <v>0</v>
      </c>
    </row>
    <row r="11" customFormat="false" ht="15" hidden="false" customHeight="false" outlineLevel="0" collapsed="false">
      <c r="A11" s="23" t="str">
        <f aca="false">SETUP!B17</f>
        <v>1.0</v>
      </c>
      <c r="B11" s="23" t="str">
        <f aca="false">SETUP!B6</f>
        <v>Musanze</v>
      </c>
      <c r="C11" s="23" t="str">
        <f aca="false">SETUP!B8</f>
        <v>2027</v>
      </c>
      <c r="D11" s="23" t="str">
        <f aca="false">SETUP!B9</f>
        <v>Annual</v>
      </c>
      <c r="E11" s="23" t="str">
        <f aca="false">BUDGET_PLAN!A11</f>
        <v>BL-006</v>
      </c>
      <c r="F11" s="23" t="str">
        <f aca="false">BUDGET_PLAN!B11</f>
        <v>OPERATING EXPENSES</v>
      </c>
      <c r="G11" s="23" t="str">
        <f aca="false">BUDGET_PLAN!C11</f>
        <v>School Materials</v>
      </c>
      <c r="H11" s="23" t="n">
        <f aca="false">BUDGET_PLAN!D11</f>
        <v>0</v>
      </c>
      <c r="I11" s="23" t="n">
        <f aca="false">BUDGET_PLAN!E11</f>
        <v>0</v>
      </c>
      <c r="J11" s="23" t="str">
        <f aca="false">BUDGET_PLAN!F11</f>
        <v>Monthly</v>
      </c>
      <c r="K11" s="57" t="n">
        <f aca="false">BUDGET_PLAN!G11</f>
        <v>0</v>
      </c>
      <c r="L11" s="23" t="str">
        <f aca="false">BUDGET_PLAN!H11</f>
        <v>Other</v>
      </c>
      <c r="M11" s="57" t="n">
        <f aca="false">BUDGET_PLAN!I11</f>
        <v>0</v>
      </c>
      <c r="N11" s="57" t="n">
        <f aca="false">BUDGET_PLAN!J11</f>
        <v>1</v>
      </c>
      <c r="O11" s="57" t="n">
        <f aca="false">BUDGET_PLAN!Z11</f>
        <v>0</v>
      </c>
      <c r="P11" s="23" t="str">
        <f aca="false">BUDGET_PLAN!AC11</f>
        <v>Medium</v>
      </c>
      <c r="Q11" s="23" t="str">
        <f aca="false">BUDGET_PLAN!AD11</f>
        <v>School Fees</v>
      </c>
      <c r="R11" s="58" t="n">
        <f aca="false">BUDGET_PLAN!AE11</f>
        <v>0</v>
      </c>
    </row>
    <row r="12" customFormat="false" ht="15" hidden="false" customHeight="false" outlineLevel="0" collapsed="false">
      <c r="A12" s="23" t="str">
        <f aca="false">SETUP!B17</f>
        <v>1.0</v>
      </c>
      <c r="B12" s="23" t="str">
        <f aca="false">SETUP!B6</f>
        <v>Musanze</v>
      </c>
      <c r="C12" s="23" t="str">
        <f aca="false">SETUP!B8</f>
        <v>2027</v>
      </c>
      <c r="D12" s="23" t="str">
        <f aca="false">SETUP!B9</f>
        <v>Annual</v>
      </c>
      <c r="E12" s="23" t="str">
        <f aca="false">BUDGET_PLAN!A12</f>
        <v>BL-007</v>
      </c>
      <c r="F12" s="23" t="str">
        <f aca="false">BUDGET_PLAN!B12</f>
        <v>OPERATING EXPENSES</v>
      </c>
      <c r="G12" s="23" t="str">
        <f aca="false">BUDGET_PLAN!C12</f>
        <v>Food Expenses</v>
      </c>
      <c r="H12" s="23" t="n">
        <f aca="false">BUDGET_PLAN!D12</f>
        <v>0</v>
      </c>
      <c r="I12" s="23" t="n">
        <f aca="false">BUDGET_PLAN!E12</f>
        <v>0</v>
      </c>
      <c r="J12" s="23" t="str">
        <f aca="false">BUDGET_PLAN!F12</f>
        <v>Monthly</v>
      </c>
      <c r="K12" s="57" t="n">
        <f aca="false">BUDGET_PLAN!G12</f>
        <v>0</v>
      </c>
      <c r="L12" s="23" t="str">
        <f aca="false">BUDGET_PLAN!H12</f>
        <v>Other</v>
      </c>
      <c r="M12" s="57" t="n">
        <f aca="false">BUDGET_PLAN!I12</f>
        <v>0</v>
      </c>
      <c r="N12" s="57" t="n">
        <f aca="false">BUDGET_PLAN!J12</f>
        <v>1</v>
      </c>
      <c r="O12" s="57" t="n">
        <f aca="false">BUDGET_PLAN!Z12</f>
        <v>0</v>
      </c>
      <c r="P12" s="23" t="str">
        <f aca="false">BUDGET_PLAN!AC12</f>
        <v>Medium</v>
      </c>
      <c r="Q12" s="23" t="str">
        <f aca="false">BUDGET_PLAN!AD12</f>
        <v>School Fees</v>
      </c>
      <c r="R12" s="58" t="n">
        <f aca="false">BUDGET_PLAN!AE12</f>
        <v>0</v>
      </c>
    </row>
    <row r="13" customFormat="false" ht="15" hidden="false" customHeight="false" outlineLevel="0" collapsed="false">
      <c r="A13" s="23" t="str">
        <f aca="false">SETUP!B17</f>
        <v>1.0</v>
      </c>
      <c r="B13" s="23" t="str">
        <f aca="false">SETUP!B6</f>
        <v>Musanze</v>
      </c>
      <c r="C13" s="23" t="str">
        <f aca="false">SETUP!B8</f>
        <v>2027</v>
      </c>
      <c r="D13" s="23" t="str">
        <f aca="false">SETUP!B9</f>
        <v>Annual</v>
      </c>
      <c r="E13" s="23" t="str">
        <f aca="false">BUDGET_PLAN!A13</f>
        <v>BL-008</v>
      </c>
      <c r="F13" s="23" t="str">
        <f aca="false">BUDGET_PLAN!B13</f>
        <v>OPERATING EXPENSES</v>
      </c>
      <c r="G13" s="23" t="str">
        <f aca="false">BUDGET_PLAN!C13</f>
        <v>Travel, Mission &amp; Transport Expenses</v>
      </c>
      <c r="H13" s="23" t="n">
        <f aca="false">BUDGET_PLAN!D13</f>
        <v>0</v>
      </c>
      <c r="I13" s="23" t="n">
        <f aca="false">BUDGET_PLAN!E13</f>
        <v>0</v>
      </c>
      <c r="J13" s="23" t="str">
        <f aca="false">BUDGET_PLAN!F13</f>
        <v>Monthly</v>
      </c>
      <c r="K13" s="57" t="n">
        <f aca="false">BUDGET_PLAN!G13</f>
        <v>0</v>
      </c>
      <c r="L13" s="23" t="str">
        <f aca="false">BUDGET_PLAN!H13</f>
        <v>Other</v>
      </c>
      <c r="M13" s="57" t="n">
        <f aca="false">BUDGET_PLAN!I13</f>
        <v>0</v>
      </c>
      <c r="N13" s="57" t="n">
        <f aca="false">BUDGET_PLAN!J13</f>
        <v>1</v>
      </c>
      <c r="O13" s="57" t="n">
        <f aca="false">BUDGET_PLAN!Z13</f>
        <v>0</v>
      </c>
      <c r="P13" s="23" t="str">
        <f aca="false">BUDGET_PLAN!AC13</f>
        <v>Medium</v>
      </c>
      <c r="Q13" s="23" t="str">
        <f aca="false">BUDGET_PLAN!AD13</f>
        <v>School Fees</v>
      </c>
      <c r="R13" s="58" t="n">
        <f aca="false">BUDGET_PLAN!AE13</f>
        <v>0</v>
      </c>
    </row>
    <row r="14" customFormat="false" ht="15" hidden="false" customHeight="false" outlineLevel="0" collapsed="false">
      <c r="A14" s="23" t="str">
        <f aca="false">SETUP!B17</f>
        <v>1.0</v>
      </c>
      <c r="B14" s="23" t="str">
        <f aca="false">SETUP!B6</f>
        <v>Musanze</v>
      </c>
      <c r="C14" s="23" t="str">
        <f aca="false">SETUP!B8</f>
        <v>2027</v>
      </c>
      <c r="D14" s="23" t="str">
        <f aca="false">SETUP!B9</f>
        <v>Annual</v>
      </c>
      <c r="E14" s="23" t="str">
        <f aca="false">BUDGET_PLAN!A14</f>
        <v>BL-009</v>
      </c>
      <c r="F14" s="23" t="str">
        <f aca="false">BUDGET_PLAN!B14</f>
        <v>OPERATING EXPENSES</v>
      </c>
      <c r="G14" s="23" t="str">
        <f aca="false">BUDGET_PLAN!C14</f>
        <v>Fuel</v>
      </c>
      <c r="H14" s="23" t="n">
        <f aca="false">BUDGET_PLAN!D14</f>
        <v>0</v>
      </c>
      <c r="I14" s="23" t="n">
        <f aca="false">BUDGET_PLAN!E14</f>
        <v>0</v>
      </c>
      <c r="J14" s="23" t="str">
        <f aca="false">BUDGET_PLAN!F14</f>
        <v>Monthly</v>
      </c>
      <c r="K14" s="57" t="n">
        <f aca="false">BUDGET_PLAN!G14</f>
        <v>0</v>
      </c>
      <c r="L14" s="23" t="str">
        <f aca="false">BUDGET_PLAN!H14</f>
        <v>Other</v>
      </c>
      <c r="M14" s="57" t="n">
        <f aca="false">BUDGET_PLAN!I14</f>
        <v>0</v>
      </c>
      <c r="N14" s="57" t="n">
        <f aca="false">BUDGET_PLAN!J14</f>
        <v>1</v>
      </c>
      <c r="O14" s="57" t="n">
        <f aca="false">BUDGET_PLAN!Z14</f>
        <v>0</v>
      </c>
      <c r="P14" s="23" t="str">
        <f aca="false">BUDGET_PLAN!AC14</f>
        <v>Medium</v>
      </c>
      <c r="Q14" s="23" t="str">
        <f aca="false">BUDGET_PLAN!AD14</f>
        <v>School Fees</v>
      </c>
      <c r="R14" s="58" t="n">
        <f aca="false">BUDGET_PLAN!AE14</f>
        <v>0</v>
      </c>
    </row>
    <row r="15" customFormat="false" ht="15" hidden="false" customHeight="false" outlineLevel="0" collapsed="false">
      <c r="A15" s="23" t="str">
        <f aca="false">SETUP!B17</f>
        <v>1.0</v>
      </c>
      <c r="B15" s="23" t="str">
        <f aca="false">SETUP!B6</f>
        <v>Musanze</v>
      </c>
      <c r="C15" s="23" t="str">
        <f aca="false">SETUP!B8</f>
        <v>2027</v>
      </c>
      <c r="D15" s="23" t="str">
        <f aca="false">SETUP!B9</f>
        <v>Annual</v>
      </c>
      <c r="E15" s="23" t="str">
        <f aca="false">BUDGET_PLAN!A15</f>
        <v>BL-010</v>
      </c>
      <c r="F15" s="23" t="str">
        <f aca="false">BUDGET_PLAN!B15</f>
        <v>OPERATING EXPENSES</v>
      </c>
      <c r="G15" s="23" t="str">
        <f aca="false">BUDGET_PLAN!C15</f>
        <v>Vehicle Maintenance</v>
      </c>
      <c r="H15" s="23" t="n">
        <f aca="false">BUDGET_PLAN!D15</f>
        <v>0</v>
      </c>
      <c r="I15" s="23" t="n">
        <f aca="false">BUDGET_PLAN!E15</f>
        <v>0</v>
      </c>
      <c r="J15" s="23" t="str">
        <f aca="false">BUDGET_PLAN!F15</f>
        <v>Monthly</v>
      </c>
      <c r="K15" s="57" t="n">
        <f aca="false">BUDGET_PLAN!G15</f>
        <v>0</v>
      </c>
      <c r="L15" s="23" t="str">
        <f aca="false">BUDGET_PLAN!H15</f>
        <v>Other</v>
      </c>
      <c r="M15" s="57" t="n">
        <f aca="false">BUDGET_PLAN!I15</f>
        <v>0</v>
      </c>
      <c r="N15" s="57" t="n">
        <f aca="false">BUDGET_PLAN!J15</f>
        <v>1</v>
      </c>
      <c r="O15" s="57" t="n">
        <f aca="false">BUDGET_PLAN!Z15</f>
        <v>0</v>
      </c>
      <c r="P15" s="23" t="str">
        <f aca="false">BUDGET_PLAN!AC15</f>
        <v>Medium</v>
      </c>
      <c r="Q15" s="23" t="str">
        <f aca="false">BUDGET_PLAN!AD15</f>
        <v>School Fees</v>
      </c>
      <c r="R15" s="58" t="n">
        <f aca="false">BUDGET_PLAN!AE15</f>
        <v>0</v>
      </c>
    </row>
    <row r="16" customFormat="false" ht="15" hidden="false" customHeight="false" outlineLevel="0" collapsed="false">
      <c r="A16" s="23" t="str">
        <f aca="false">SETUP!B17</f>
        <v>1.0</v>
      </c>
      <c r="B16" s="23" t="str">
        <f aca="false">SETUP!B6</f>
        <v>Musanze</v>
      </c>
      <c r="C16" s="23" t="str">
        <f aca="false">SETUP!B8</f>
        <v>2027</v>
      </c>
      <c r="D16" s="23" t="str">
        <f aca="false">SETUP!B9</f>
        <v>Annual</v>
      </c>
      <c r="E16" s="23" t="str">
        <f aca="false">BUDGET_PLAN!A16</f>
        <v>BL-011</v>
      </c>
      <c r="F16" s="23" t="str">
        <f aca="false">BUDGET_PLAN!B16</f>
        <v>OPERATING EXPENSES</v>
      </c>
      <c r="G16" s="23" t="str">
        <f aca="false">BUDGET_PLAN!C16</f>
        <v>Utilities (Water &amp; Electricity)</v>
      </c>
      <c r="H16" s="23" t="n">
        <f aca="false">BUDGET_PLAN!D16</f>
        <v>0</v>
      </c>
      <c r="I16" s="23" t="n">
        <f aca="false">BUDGET_PLAN!E16</f>
        <v>0</v>
      </c>
      <c r="J16" s="23" t="str">
        <f aca="false">BUDGET_PLAN!F16</f>
        <v>Monthly</v>
      </c>
      <c r="K16" s="57" t="n">
        <f aca="false">BUDGET_PLAN!G16</f>
        <v>0</v>
      </c>
      <c r="L16" s="23" t="str">
        <f aca="false">BUDGET_PLAN!H16</f>
        <v>Other</v>
      </c>
      <c r="M16" s="57" t="n">
        <f aca="false">BUDGET_PLAN!I16</f>
        <v>0</v>
      </c>
      <c r="N16" s="57" t="n">
        <f aca="false">BUDGET_PLAN!J16</f>
        <v>1</v>
      </c>
      <c r="O16" s="57" t="n">
        <f aca="false">BUDGET_PLAN!Z16</f>
        <v>0</v>
      </c>
      <c r="P16" s="23" t="str">
        <f aca="false">BUDGET_PLAN!AC16</f>
        <v>Medium</v>
      </c>
      <c r="Q16" s="23" t="str">
        <f aca="false">BUDGET_PLAN!AD16</f>
        <v>School Fees</v>
      </c>
      <c r="R16" s="58" t="n">
        <f aca="false">BUDGET_PLAN!AE16</f>
        <v>0</v>
      </c>
    </row>
    <row r="17" customFormat="false" ht="15" hidden="false" customHeight="false" outlineLevel="0" collapsed="false">
      <c r="A17" s="23" t="str">
        <f aca="false">SETUP!B17</f>
        <v>1.0</v>
      </c>
      <c r="B17" s="23" t="str">
        <f aca="false">SETUP!B6</f>
        <v>Musanze</v>
      </c>
      <c r="C17" s="23" t="str">
        <f aca="false">SETUP!B8</f>
        <v>2027</v>
      </c>
      <c r="D17" s="23" t="str">
        <f aca="false">SETUP!B9</f>
        <v>Annual</v>
      </c>
      <c r="E17" s="23" t="str">
        <f aca="false">BUDGET_PLAN!A17</f>
        <v>BL-012</v>
      </c>
      <c r="F17" s="23" t="str">
        <f aca="false">BUDGET_PLAN!B17</f>
        <v>OPERATING EXPENSES</v>
      </c>
      <c r="G17" s="23" t="str">
        <f aca="false">BUDGET_PLAN!C17</f>
        <v>Rental Expenses</v>
      </c>
      <c r="H17" s="23" t="n">
        <f aca="false">BUDGET_PLAN!D17</f>
        <v>0</v>
      </c>
      <c r="I17" s="23" t="n">
        <f aca="false">BUDGET_PLAN!E17</f>
        <v>0</v>
      </c>
      <c r="J17" s="23" t="str">
        <f aca="false">BUDGET_PLAN!F17</f>
        <v>Monthly</v>
      </c>
      <c r="K17" s="57" t="n">
        <f aca="false">BUDGET_PLAN!G17</f>
        <v>0</v>
      </c>
      <c r="L17" s="23" t="str">
        <f aca="false">BUDGET_PLAN!H17</f>
        <v>Other</v>
      </c>
      <c r="M17" s="57" t="n">
        <f aca="false">BUDGET_PLAN!I17</f>
        <v>0</v>
      </c>
      <c r="N17" s="57" t="n">
        <f aca="false">BUDGET_PLAN!J17</f>
        <v>1</v>
      </c>
      <c r="O17" s="57" t="n">
        <f aca="false">BUDGET_PLAN!Z17</f>
        <v>0</v>
      </c>
      <c r="P17" s="23" t="str">
        <f aca="false">BUDGET_PLAN!AC17</f>
        <v>Medium</v>
      </c>
      <c r="Q17" s="23" t="str">
        <f aca="false">BUDGET_PLAN!AD17</f>
        <v>School Fees</v>
      </c>
      <c r="R17" s="58" t="n">
        <f aca="false">BUDGET_PLAN!AE17</f>
        <v>0</v>
      </c>
    </row>
    <row r="18" customFormat="false" ht="15" hidden="false" customHeight="false" outlineLevel="0" collapsed="false">
      <c r="A18" s="23" t="str">
        <f aca="false">SETUP!B17</f>
        <v>1.0</v>
      </c>
      <c r="B18" s="23" t="str">
        <f aca="false">SETUP!B6</f>
        <v>Musanze</v>
      </c>
      <c r="C18" s="23" t="str">
        <f aca="false">SETUP!B8</f>
        <v>2027</v>
      </c>
      <c r="D18" s="23" t="str">
        <f aca="false">SETUP!B9</f>
        <v>Annual</v>
      </c>
      <c r="E18" s="23" t="str">
        <f aca="false">BUDGET_PLAN!A18</f>
        <v>BL-013</v>
      </c>
      <c r="F18" s="23" t="str">
        <f aca="false">BUDGET_PLAN!B18</f>
        <v>OPERATING EXPENSES</v>
      </c>
      <c r="G18" s="23" t="str">
        <f aca="false">BUDGET_PLAN!C18</f>
        <v>Insurance</v>
      </c>
      <c r="H18" s="23" t="n">
        <f aca="false">BUDGET_PLAN!D18</f>
        <v>0</v>
      </c>
      <c r="I18" s="23" t="n">
        <f aca="false">BUDGET_PLAN!E18</f>
        <v>0</v>
      </c>
      <c r="J18" s="23" t="str">
        <f aca="false">BUDGET_PLAN!F18</f>
        <v>Monthly</v>
      </c>
      <c r="K18" s="57" t="n">
        <f aca="false">BUDGET_PLAN!G18</f>
        <v>0</v>
      </c>
      <c r="L18" s="23" t="str">
        <f aca="false">BUDGET_PLAN!H18</f>
        <v>Other</v>
      </c>
      <c r="M18" s="57" t="n">
        <f aca="false">BUDGET_PLAN!I18</f>
        <v>0</v>
      </c>
      <c r="N18" s="57" t="n">
        <f aca="false">BUDGET_PLAN!J18</f>
        <v>1</v>
      </c>
      <c r="O18" s="57" t="n">
        <f aca="false">BUDGET_PLAN!Z18</f>
        <v>0</v>
      </c>
      <c r="P18" s="23" t="str">
        <f aca="false">BUDGET_PLAN!AC18</f>
        <v>Medium</v>
      </c>
      <c r="Q18" s="23" t="str">
        <f aca="false">BUDGET_PLAN!AD18</f>
        <v>School Fees</v>
      </c>
      <c r="R18" s="58" t="n">
        <f aca="false">BUDGET_PLAN!AE18</f>
        <v>0</v>
      </c>
    </row>
    <row r="19" customFormat="false" ht="15" hidden="false" customHeight="false" outlineLevel="0" collapsed="false">
      <c r="A19" s="23" t="str">
        <f aca="false">SETUP!B17</f>
        <v>1.0</v>
      </c>
      <c r="B19" s="23" t="str">
        <f aca="false">SETUP!B6</f>
        <v>Musanze</v>
      </c>
      <c r="C19" s="23" t="str">
        <f aca="false">SETUP!B8</f>
        <v>2027</v>
      </c>
      <c r="D19" s="23" t="str">
        <f aca="false">SETUP!B9</f>
        <v>Annual</v>
      </c>
      <c r="E19" s="23" t="str">
        <f aca="false">BUDGET_PLAN!A19</f>
        <v>BL-014</v>
      </c>
      <c r="F19" s="23" t="str">
        <f aca="false">BUDGET_PLAN!B19</f>
        <v>OPERATING EXPENSES</v>
      </c>
      <c r="G19" s="23" t="str">
        <f aca="false">BUDGET_PLAN!C19</f>
        <v>Taxes</v>
      </c>
      <c r="H19" s="23" t="n">
        <f aca="false">BUDGET_PLAN!D19</f>
        <v>0</v>
      </c>
      <c r="I19" s="23" t="n">
        <f aca="false">BUDGET_PLAN!E19</f>
        <v>0</v>
      </c>
      <c r="J19" s="23" t="str">
        <f aca="false">BUDGET_PLAN!F19</f>
        <v>Monthly</v>
      </c>
      <c r="K19" s="57" t="n">
        <f aca="false">BUDGET_PLAN!G19</f>
        <v>0</v>
      </c>
      <c r="L19" s="23" t="str">
        <f aca="false">BUDGET_PLAN!H19</f>
        <v>Other</v>
      </c>
      <c r="M19" s="57" t="n">
        <f aca="false">BUDGET_PLAN!I19</f>
        <v>0</v>
      </c>
      <c r="N19" s="57" t="n">
        <f aca="false">BUDGET_PLAN!J19</f>
        <v>1</v>
      </c>
      <c r="O19" s="57" t="n">
        <f aca="false">BUDGET_PLAN!Z19</f>
        <v>0</v>
      </c>
      <c r="P19" s="23" t="str">
        <f aca="false">BUDGET_PLAN!AC19</f>
        <v>Medium</v>
      </c>
      <c r="Q19" s="23" t="str">
        <f aca="false">BUDGET_PLAN!AD19</f>
        <v>School Fees</v>
      </c>
      <c r="R19" s="58" t="n">
        <f aca="false">BUDGET_PLAN!AE19</f>
        <v>0</v>
      </c>
    </row>
    <row r="20" customFormat="false" ht="15" hidden="false" customHeight="false" outlineLevel="0" collapsed="false">
      <c r="A20" s="23" t="str">
        <f aca="false">SETUP!B17</f>
        <v>1.0</v>
      </c>
      <c r="B20" s="23" t="str">
        <f aca="false">SETUP!B6</f>
        <v>Musanze</v>
      </c>
      <c r="C20" s="23" t="str">
        <f aca="false">SETUP!B8</f>
        <v>2027</v>
      </c>
      <c r="D20" s="23" t="str">
        <f aca="false">SETUP!B9</f>
        <v>Annual</v>
      </c>
      <c r="E20" s="23" t="str">
        <f aca="false">BUDGET_PLAN!A20</f>
        <v>BL-015</v>
      </c>
      <c r="F20" s="23" t="str">
        <f aca="false">BUDGET_PLAN!B20</f>
        <v>OPERATING EXPENSES</v>
      </c>
      <c r="G20" s="23" t="str">
        <f aca="false">BUDGET_PLAN!C20</f>
        <v>Communication</v>
      </c>
      <c r="H20" s="23" t="n">
        <f aca="false">BUDGET_PLAN!D20</f>
        <v>0</v>
      </c>
      <c r="I20" s="23" t="n">
        <f aca="false">BUDGET_PLAN!E20</f>
        <v>0</v>
      </c>
      <c r="J20" s="23" t="str">
        <f aca="false">BUDGET_PLAN!F20</f>
        <v>Monthly</v>
      </c>
      <c r="K20" s="57" t="n">
        <f aca="false">BUDGET_PLAN!G20</f>
        <v>0</v>
      </c>
      <c r="L20" s="23" t="str">
        <f aca="false">BUDGET_PLAN!H20</f>
        <v>Other</v>
      </c>
      <c r="M20" s="57" t="n">
        <f aca="false">BUDGET_PLAN!I20</f>
        <v>0</v>
      </c>
      <c r="N20" s="57" t="n">
        <f aca="false">BUDGET_PLAN!J20</f>
        <v>1</v>
      </c>
      <c r="O20" s="57" t="n">
        <f aca="false">BUDGET_PLAN!Z20</f>
        <v>0</v>
      </c>
      <c r="P20" s="23" t="str">
        <f aca="false">BUDGET_PLAN!AC20</f>
        <v>Medium</v>
      </c>
      <c r="Q20" s="23" t="str">
        <f aca="false">BUDGET_PLAN!AD20</f>
        <v>School Fees</v>
      </c>
      <c r="R20" s="58" t="n">
        <f aca="false">BUDGET_PLAN!AE20</f>
        <v>0</v>
      </c>
    </row>
    <row r="21" customFormat="false" ht="15" hidden="false" customHeight="false" outlineLevel="0" collapsed="false">
      <c r="A21" s="23" t="str">
        <f aca="false">SETUP!B17</f>
        <v>1.0</v>
      </c>
      <c r="B21" s="23" t="str">
        <f aca="false">SETUP!B6</f>
        <v>Musanze</v>
      </c>
      <c r="C21" s="23" t="str">
        <f aca="false">SETUP!B8</f>
        <v>2027</v>
      </c>
      <c r="D21" s="23" t="str">
        <f aca="false">SETUP!B9</f>
        <v>Annual</v>
      </c>
      <c r="E21" s="23" t="str">
        <f aca="false">BUDGET_PLAN!A21</f>
        <v>BL-016</v>
      </c>
      <c r="F21" s="23" t="str">
        <f aca="false">BUDGET_PLAN!B21</f>
        <v>OPERATING EXPENSES</v>
      </c>
      <c r="G21" s="23" t="str">
        <f aca="false">BUDGET_PLAN!C21</f>
        <v>Capacity Building</v>
      </c>
      <c r="H21" s="23" t="n">
        <f aca="false">BUDGET_PLAN!D21</f>
        <v>0</v>
      </c>
      <c r="I21" s="23" t="n">
        <f aca="false">BUDGET_PLAN!E21</f>
        <v>0</v>
      </c>
      <c r="J21" s="23" t="str">
        <f aca="false">BUDGET_PLAN!F21</f>
        <v>Monthly</v>
      </c>
      <c r="K21" s="57" t="n">
        <f aca="false">BUDGET_PLAN!G21</f>
        <v>0</v>
      </c>
      <c r="L21" s="23" t="str">
        <f aca="false">BUDGET_PLAN!H21</f>
        <v>Other</v>
      </c>
      <c r="M21" s="57" t="n">
        <f aca="false">BUDGET_PLAN!I21</f>
        <v>0</v>
      </c>
      <c r="N21" s="57" t="n">
        <f aca="false">BUDGET_PLAN!J21</f>
        <v>1</v>
      </c>
      <c r="O21" s="57" t="n">
        <f aca="false">BUDGET_PLAN!Z21</f>
        <v>0</v>
      </c>
      <c r="P21" s="23" t="str">
        <f aca="false">BUDGET_PLAN!AC21</f>
        <v>Medium</v>
      </c>
      <c r="Q21" s="23" t="str">
        <f aca="false">BUDGET_PLAN!AD21</f>
        <v>School Fees</v>
      </c>
      <c r="R21" s="58" t="n">
        <f aca="false">BUDGET_PLAN!AE21</f>
        <v>0</v>
      </c>
    </row>
    <row r="22" customFormat="false" ht="15" hidden="false" customHeight="false" outlineLevel="0" collapsed="false">
      <c r="A22" s="23" t="str">
        <f aca="false">SETUP!B17</f>
        <v>1.0</v>
      </c>
      <c r="B22" s="23" t="str">
        <f aca="false">SETUP!B6</f>
        <v>Musanze</v>
      </c>
      <c r="C22" s="23" t="str">
        <f aca="false">SETUP!B8</f>
        <v>2027</v>
      </c>
      <c r="D22" s="23" t="str">
        <f aca="false">SETUP!B9</f>
        <v>Annual</v>
      </c>
      <c r="E22" s="23" t="str">
        <f aca="false">BUDGET_PLAN!A22</f>
        <v>BL-017</v>
      </c>
      <c r="F22" s="23" t="str">
        <f aca="false">BUDGET_PLAN!B22</f>
        <v>OPERATING EXPENSES</v>
      </c>
      <c r="G22" s="23" t="str">
        <f aca="false">BUDGET_PLAN!C22</f>
        <v>Audit Fees</v>
      </c>
      <c r="H22" s="23" t="n">
        <f aca="false">BUDGET_PLAN!D22</f>
        <v>0</v>
      </c>
      <c r="I22" s="23" t="n">
        <f aca="false">BUDGET_PLAN!E22</f>
        <v>0</v>
      </c>
      <c r="J22" s="23" t="str">
        <f aca="false">BUDGET_PLAN!F22</f>
        <v>Monthly</v>
      </c>
      <c r="K22" s="57" t="n">
        <f aca="false">BUDGET_PLAN!G22</f>
        <v>0</v>
      </c>
      <c r="L22" s="23" t="str">
        <f aca="false">BUDGET_PLAN!H22</f>
        <v>Other</v>
      </c>
      <c r="M22" s="57" t="n">
        <f aca="false">BUDGET_PLAN!I22</f>
        <v>0</v>
      </c>
      <c r="N22" s="57" t="n">
        <f aca="false">BUDGET_PLAN!J22</f>
        <v>1</v>
      </c>
      <c r="O22" s="57" t="n">
        <f aca="false">BUDGET_PLAN!Z22</f>
        <v>0</v>
      </c>
      <c r="P22" s="23" t="str">
        <f aca="false">BUDGET_PLAN!AC22</f>
        <v>Medium</v>
      </c>
      <c r="Q22" s="23" t="str">
        <f aca="false">BUDGET_PLAN!AD22</f>
        <v>School Fees</v>
      </c>
      <c r="R22" s="58" t="n">
        <f aca="false">BUDGET_PLAN!AE22</f>
        <v>0</v>
      </c>
    </row>
    <row r="23" customFormat="false" ht="15" hidden="false" customHeight="false" outlineLevel="0" collapsed="false">
      <c r="A23" s="23" t="str">
        <f aca="false">SETUP!B17</f>
        <v>1.0</v>
      </c>
      <c r="B23" s="23" t="str">
        <f aca="false">SETUP!B6</f>
        <v>Musanze</v>
      </c>
      <c r="C23" s="23" t="str">
        <f aca="false">SETUP!B8</f>
        <v>2027</v>
      </c>
      <c r="D23" s="23" t="str">
        <f aca="false">SETUP!B9</f>
        <v>Annual</v>
      </c>
      <c r="E23" s="23" t="str">
        <f aca="false">BUDGET_PLAN!A23</f>
        <v>BL-018</v>
      </c>
      <c r="F23" s="23" t="str">
        <f aca="false">BUDGET_PLAN!B23</f>
        <v>OPERATING EXPENSES</v>
      </c>
      <c r="G23" s="23" t="str">
        <f aca="false">BUDGET_PLAN!C23</f>
        <v>Rehabilitation &amp; Maintenance</v>
      </c>
      <c r="H23" s="23" t="n">
        <f aca="false">BUDGET_PLAN!D23</f>
        <v>0</v>
      </c>
      <c r="I23" s="23" t="n">
        <f aca="false">BUDGET_PLAN!E23</f>
        <v>0</v>
      </c>
      <c r="J23" s="23" t="str">
        <f aca="false">BUDGET_PLAN!F23</f>
        <v>Monthly</v>
      </c>
      <c r="K23" s="57" t="n">
        <f aca="false">BUDGET_PLAN!G23</f>
        <v>0</v>
      </c>
      <c r="L23" s="23" t="str">
        <f aca="false">BUDGET_PLAN!H23</f>
        <v>Other</v>
      </c>
      <c r="M23" s="57" t="n">
        <f aca="false">BUDGET_PLAN!I23</f>
        <v>0</v>
      </c>
      <c r="N23" s="57" t="n">
        <f aca="false">BUDGET_PLAN!J23</f>
        <v>1</v>
      </c>
      <c r="O23" s="57" t="n">
        <f aca="false">BUDGET_PLAN!Z23</f>
        <v>0</v>
      </c>
      <c r="P23" s="23" t="str">
        <f aca="false">BUDGET_PLAN!AC23</f>
        <v>Medium</v>
      </c>
      <c r="Q23" s="23" t="str">
        <f aca="false">BUDGET_PLAN!AD23</f>
        <v>School Fees</v>
      </c>
      <c r="R23" s="58" t="n">
        <f aca="false">BUDGET_PLAN!AE23</f>
        <v>0</v>
      </c>
    </row>
    <row r="24" customFormat="false" ht="15" hidden="false" customHeight="false" outlineLevel="0" collapsed="false">
      <c r="A24" s="23" t="str">
        <f aca="false">SETUP!B17</f>
        <v>1.0</v>
      </c>
      <c r="B24" s="23" t="str">
        <f aca="false">SETUP!B6</f>
        <v>Musanze</v>
      </c>
      <c r="C24" s="23" t="str">
        <f aca="false">SETUP!B8</f>
        <v>2027</v>
      </c>
      <c r="D24" s="23" t="str">
        <f aca="false">SETUP!B9</f>
        <v>Annual</v>
      </c>
      <c r="E24" s="23" t="str">
        <f aca="false">BUDGET_PLAN!A24</f>
        <v>BL-019</v>
      </c>
      <c r="F24" s="23" t="str">
        <f aca="false">BUDGET_PLAN!B24</f>
        <v>OPERATING EXPENSES</v>
      </c>
      <c r="G24" s="23" t="str">
        <f aca="false">BUDGET_PLAN!C24</f>
        <v>Donation</v>
      </c>
      <c r="H24" s="23" t="n">
        <f aca="false">BUDGET_PLAN!D24</f>
        <v>0</v>
      </c>
      <c r="I24" s="23" t="n">
        <f aca="false">BUDGET_PLAN!E24</f>
        <v>0</v>
      </c>
      <c r="J24" s="23" t="str">
        <f aca="false">BUDGET_PLAN!F24</f>
        <v>Monthly</v>
      </c>
      <c r="K24" s="57" t="n">
        <f aca="false">BUDGET_PLAN!G24</f>
        <v>0</v>
      </c>
      <c r="L24" s="23" t="str">
        <f aca="false">BUDGET_PLAN!H24</f>
        <v>Other</v>
      </c>
      <c r="M24" s="57" t="n">
        <f aca="false">BUDGET_PLAN!I24</f>
        <v>0</v>
      </c>
      <c r="N24" s="57" t="n">
        <f aca="false">BUDGET_PLAN!J24</f>
        <v>1</v>
      </c>
      <c r="O24" s="57" t="n">
        <f aca="false">BUDGET_PLAN!Z24</f>
        <v>0</v>
      </c>
      <c r="P24" s="23" t="str">
        <f aca="false">BUDGET_PLAN!AC24</f>
        <v>Medium</v>
      </c>
      <c r="Q24" s="23" t="str">
        <f aca="false">BUDGET_PLAN!AD24</f>
        <v>School Fees</v>
      </c>
      <c r="R24" s="58" t="n">
        <f aca="false">BUDGET_PLAN!AE24</f>
        <v>0</v>
      </c>
    </row>
    <row r="25" customFormat="false" ht="15" hidden="false" customHeight="false" outlineLevel="0" collapsed="false">
      <c r="A25" s="23" t="str">
        <f aca="false">SETUP!B17</f>
        <v>1.0</v>
      </c>
      <c r="B25" s="23" t="str">
        <f aca="false">SETUP!B6</f>
        <v>Musanze</v>
      </c>
      <c r="C25" s="23" t="str">
        <f aca="false">SETUP!B8</f>
        <v>2027</v>
      </c>
      <c r="D25" s="23" t="str">
        <f aca="false">SETUP!B9</f>
        <v>Annual</v>
      </c>
      <c r="E25" s="23" t="str">
        <f aca="false">BUDGET_PLAN!A25</f>
        <v>BL-020</v>
      </c>
      <c r="F25" s="23" t="str">
        <f aca="false">BUDGET_PLAN!B25</f>
        <v>OPERATING EXPENSES</v>
      </c>
      <c r="G25" s="23" t="str">
        <f aca="false">BUDGET_PLAN!C25</f>
        <v>First Aid &amp; Hygiene</v>
      </c>
      <c r="H25" s="23" t="n">
        <f aca="false">BUDGET_PLAN!D25</f>
        <v>0</v>
      </c>
      <c r="I25" s="23" t="n">
        <f aca="false">BUDGET_PLAN!E25</f>
        <v>0</v>
      </c>
      <c r="J25" s="23" t="str">
        <f aca="false">BUDGET_PLAN!F25</f>
        <v>Monthly</v>
      </c>
      <c r="K25" s="57" t="n">
        <f aca="false">BUDGET_PLAN!G25</f>
        <v>0</v>
      </c>
      <c r="L25" s="23" t="str">
        <f aca="false">BUDGET_PLAN!H25</f>
        <v>Other</v>
      </c>
      <c r="M25" s="57" t="n">
        <f aca="false">BUDGET_PLAN!I25</f>
        <v>0</v>
      </c>
      <c r="N25" s="57" t="n">
        <f aca="false">BUDGET_PLAN!J25</f>
        <v>1</v>
      </c>
      <c r="O25" s="57" t="n">
        <f aca="false">BUDGET_PLAN!Z25</f>
        <v>0</v>
      </c>
      <c r="P25" s="23" t="str">
        <f aca="false">BUDGET_PLAN!AC25</f>
        <v>Medium</v>
      </c>
      <c r="Q25" s="23" t="str">
        <f aca="false">BUDGET_PLAN!AD25</f>
        <v>School Fees</v>
      </c>
      <c r="R25" s="58" t="n">
        <f aca="false">BUDGET_PLAN!AE25</f>
        <v>0</v>
      </c>
    </row>
    <row r="26" customFormat="false" ht="15" hidden="false" customHeight="false" outlineLevel="0" collapsed="false">
      <c r="A26" s="23" t="str">
        <f aca="false">SETUP!B17</f>
        <v>1.0</v>
      </c>
      <c r="B26" s="23" t="str">
        <f aca="false">SETUP!B6</f>
        <v>Musanze</v>
      </c>
      <c r="C26" s="23" t="str">
        <f aca="false">SETUP!B8</f>
        <v>2027</v>
      </c>
      <c r="D26" s="23" t="str">
        <f aca="false">SETUP!B9</f>
        <v>Annual</v>
      </c>
      <c r="E26" s="23" t="str">
        <f aca="false">BUDGET_PLAN!A26</f>
        <v>BL-021</v>
      </c>
      <c r="F26" s="23" t="str">
        <f aca="false">BUDGET_PLAN!B26</f>
        <v>OPERATING EXPENSES</v>
      </c>
      <c r="G26" s="23" t="str">
        <f aca="false">BUDGET_PLAN!C26</f>
        <v>Fines &amp; Penalties</v>
      </c>
      <c r="H26" s="23" t="n">
        <f aca="false">BUDGET_PLAN!D26</f>
        <v>0</v>
      </c>
      <c r="I26" s="23" t="n">
        <f aca="false">BUDGET_PLAN!E26</f>
        <v>0</v>
      </c>
      <c r="J26" s="23" t="str">
        <f aca="false">BUDGET_PLAN!F26</f>
        <v>Monthly</v>
      </c>
      <c r="K26" s="57" t="n">
        <f aca="false">BUDGET_PLAN!G26</f>
        <v>0</v>
      </c>
      <c r="L26" s="23" t="str">
        <f aca="false">BUDGET_PLAN!H26</f>
        <v>Other</v>
      </c>
      <c r="M26" s="57" t="n">
        <f aca="false">BUDGET_PLAN!I26</f>
        <v>0</v>
      </c>
      <c r="N26" s="57" t="n">
        <f aca="false">BUDGET_PLAN!J26</f>
        <v>1</v>
      </c>
      <c r="O26" s="57" t="n">
        <f aca="false">BUDGET_PLAN!Z26</f>
        <v>0</v>
      </c>
      <c r="P26" s="23" t="str">
        <f aca="false">BUDGET_PLAN!AC26</f>
        <v>Medium</v>
      </c>
      <c r="Q26" s="23" t="str">
        <f aca="false">BUDGET_PLAN!AD26</f>
        <v>School Fees</v>
      </c>
      <c r="R26" s="58" t="n">
        <f aca="false">BUDGET_PLAN!AE26</f>
        <v>0</v>
      </c>
    </row>
    <row r="27" customFormat="false" ht="15" hidden="false" customHeight="false" outlineLevel="0" collapsed="false">
      <c r="A27" s="23" t="str">
        <f aca="false">SETUP!B17</f>
        <v>1.0</v>
      </c>
      <c r="B27" s="23" t="str">
        <f aca="false">SETUP!B6</f>
        <v>Musanze</v>
      </c>
      <c r="C27" s="23" t="str">
        <f aca="false">SETUP!B8</f>
        <v>2027</v>
      </c>
      <c r="D27" s="23" t="str">
        <f aca="false">SETUP!B9</f>
        <v>Annual</v>
      </c>
      <c r="E27" s="23" t="str">
        <f aca="false">BUDGET_PLAN!A27</f>
        <v>BL-022</v>
      </c>
      <c r="F27" s="23" t="str">
        <f aca="false">BUDGET_PLAN!B27</f>
        <v>OPERATING EXPENSES</v>
      </c>
      <c r="G27" s="23" t="str">
        <f aca="false">BUDGET_PLAN!C27</f>
        <v>Payables</v>
      </c>
      <c r="H27" s="23" t="n">
        <f aca="false">BUDGET_PLAN!D27</f>
        <v>0</v>
      </c>
      <c r="I27" s="23" t="n">
        <f aca="false">BUDGET_PLAN!E27</f>
        <v>0</v>
      </c>
      <c r="J27" s="23" t="str">
        <f aca="false">BUDGET_PLAN!F27</f>
        <v>Monthly</v>
      </c>
      <c r="K27" s="57" t="n">
        <f aca="false">BUDGET_PLAN!G27</f>
        <v>0</v>
      </c>
      <c r="L27" s="23" t="str">
        <f aca="false">BUDGET_PLAN!H27</f>
        <v>Other</v>
      </c>
      <c r="M27" s="57" t="n">
        <f aca="false">BUDGET_PLAN!I27</f>
        <v>0</v>
      </c>
      <c r="N27" s="57" t="n">
        <f aca="false">BUDGET_PLAN!J27</f>
        <v>1</v>
      </c>
      <c r="O27" s="57" t="n">
        <f aca="false">BUDGET_PLAN!Z27</f>
        <v>0</v>
      </c>
      <c r="P27" s="23" t="str">
        <f aca="false">BUDGET_PLAN!AC27</f>
        <v>Medium</v>
      </c>
      <c r="Q27" s="23" t="str">
        <f aca="false">BUDGET_PLAN!AD27</f>
        <v>School Fees</v>
      </c>
      <c r="R27" s="58" t="n">
        <f aca="false">BUDGET_PLAN!AE27</f>
        <v>0</v>
      </c>
    </row>
    <row r="28" customFormat="false" ht="15" hidden="false" customHeight="false" outlineLevel="0" collapsed="false">
      <c r="A28" s="23" t="str">
        <f aca="false">SETUP!B17</f>
        <v>1.0</v>
      </c>
      <c r="B28" s="23" t="str">
        <f aca="false">SETUP!B6</f>
        <v>Musanze</v>
      </c>
      <c r="C28" s="23" t="str">
        <f aca="false">SETUP!B8</f>
        <v>2027</v>
      </c>
      <c r="D28" s="23" t="str">
        <f aca="false">SETUP!B9</f>
        <v>Annual</v>
      </c>
      <c r="E28" s="23" t="str">
        <f aca="false">BUDGET_PLAN!A28</f>
        <v>BL-023</v>
      </c>
      <c r="F28" s="23" t="str">
        <f aca="false">BUDGET_PLAN!B28</f>
        <v>ADMINISTRATIVE COSTS</v>
      </c>
      <c r="G28" s="23" t="str">
        <f aca="false">BUDGET_PLAN!C28</f>
        <v>Staff Salaries</v>
      </c>
      <c r="H28" s="23" t="n">
        <f aca="false">BUDGET_PLAN!D28</f>
        <v>0</v>
      </c>
      <c r="I28" s="23" t="n">
        <f aca="false">BUDGET_PLAN!E28</f>
        <v>0</v>
      </c>
      <c r="J28" s="23" t="str">
        <f aca="false">BUDGET_PLAN!F28</f>
        <v>Monthly</v>
      </c>
      <c r="K28" s="57" t="n">
        <f aca="false">BUDGET_PLAN!G28</f>
        <v>0</v>
      </c>
      <c r="L28" s="23" t="str">
        <f aca="false">BUDGET_PLAN!H28</f>
        <v>Other</v>
      </c>
      <c r="M28" s="57" t="n">
        <f aca="false">BUDGET_PLAN!I28</f>
        <v>0</v>
      </c>
      <c r="N28" s="57" t="n">
        <f aca="false">BUDGET_PLAN!J28</f>
        <v>1</v>
      </c>
      <c r="O28" s="57" t="n">
        <f aca="false">BUDGET_PLAN!Z28</f>
        <v>0</v>
      </c>
      <c r="P28" s="23" t="str">
        <f aca="false">BUDGET_PLAN!AC28</f>
        <v>Medium</v>
      </c>
      <c r="Q28" s="23" t="str">
        <f aca="false">BUDGET_PLAN!AD28</f>
        <v>School Fees</v>
      </c>
      <c r="R28" s="58" t="n">
        <f aca="false">BUDGET_PLAN!AE28</f>
        <v>0</v>
      </c>
    </row>
    <row r="29" customFormat="false" ht="15" hidden="false" customHeight="false" outlineLevel="0" collapsed="false">
      <c r="A29" s="23" t="str">
        <f aca="false">SETUP!B17</f>
        <v>1.0</v>
      </c>
      <c r="B29" s="23" t="str">
        <f aca="false">SETUP!B6</f>
        <v>Musanze</v>
      </c>
      <c r="C29" s="23" t="str">
        <f aca="false">SETUP!B8</f>
        <v>2027</v>
      </c>
      <c r="D29" s="23" t="str">
        <f aca="false">SETUP!B9</f>
        <v>Annual</v>
      </c>
      <c r="E29" s="23" t="str">
        <f aca="false">BUDGET_PLAN!A29</f>
        <v>BL-024</v>
      </c>
      <c r="F29" s="23" t="str">
        <f aca="false">BUDGET_PLAN!B29</f>
        <v>ADMINISTRATIVE COSTS</v>
      </c>
      <c r="G29" s="23" t="str">
        <f aca="false">BUDGET_PLAN!C29</f>
        <v>RSSB Contributions</v>
      </c>
      <c r="H29" s="23" t="n">
        <f aca="false">BUDGET_PLAN!D29</f>
        <v>0</v>
      </c>
      <c r="I29" s="23" t="n">
        <f aca="false">BUDGET_PLAN!E29</f>
        <v>0</v>
      </c>
      <c r="J29" s="23" t="str">
        <f aca="false">BUDGET_PLAN!F29</f>
        <v>Monthly</v>
      </c>
      <c r="K29" s="57" t="n">
        <f aca="false">BUDGET_PLAN!G29</f>
        <v>0</v>
      </c>
      <c r="L29" s="23" t="str">
        <f aca="false">BUDGET_PLAN!H29</f>
        <v>Other</v>
      </c>
      <c r="M29" s="57" t="n">
        <f aca="false">BUDGET_PLAN!I29</f>
        <v>0</v>
      </c>
      <c r="N29" s="57" t="n">
        <f aca="false">BUDGET_PLAN!J29</f>
        <v>1</v>
      </c>
      <c r="O29" s="57" t="n">
        <f aca="false">BUDGET_PLAN!Z29</f>
        <v>0</v>
      </c>
      <c r="P29" s="23" t="str">
        <f aca="false">BUDGET_PLAN!AC29</f>
        <v>Medium</v>
      </c>
      <c r="Q29" s="23" t="str">
        <f aca="false">BUDGET_PLAN!AD29</f>
        <v>School Fees</v>
      </c>
      <c r="R29" s="58" t="n">
        <f aca="false">BUDGET_PLAN!AE29</f>
        <v>0</v>
      </c>
    </row>
    <row r="30" customFormat="false" ht="15" hidden="false" customHeight="false" outlineLevel="0" collapsed="false">
      <c r="A30" s="23" t="str">
        <f aca="false">SETUP!B17</f>
        <v>1.0</v>
      </c>
      <c r="B30" s="23" t="str">
        <f aca="false">SETUP!B6</f>
        <v>Musanze</v>
      </c>
      <c r="C30" s="23" t="str">
        <f aca="false">SETUP!B8</f>
        <v>2027</v>
      </c>
      <c r="D30" s="23" t="str">
        <f aca="false">SETUP!B9</f>
        <v>Annual</v>
      </c>
      <c r="E30" s="23" t="str">
        <f aca="false">BUDGET_PLAN!A30</f>
        <v>BL-025</v>
      </c>
      <c r="F30" s="23" t="str">
        <f aca="false">BUDGET_PLAN!B30</f>
        <v>ADMINISTRATIVE COSTS</v>
      </c>
      <c r="G30" s="23" t="str">
        <f aca="false">BUDGET_PLAN!C30</f>
        <v>Marketing, Meetings, Conferences &amp; Rewards</v>
      </c>
      <c r="H30" s="23" t="n">
        <f aca="false">BUDGET_PLAN!D30</f>
        <v>0</v>
      </c>
      <c r="I30" s="23" t="n">
        <f aca="false">BUDGET_PLAN!E30</f>
        <v>0</v>
      </c>
      <c r="J30" s="23" t="str">
        <f aca="false">BUDGET_PLAN!F30</f>
        <v>Monthly</v>
      </c>
      <c r="K30" s="57" t="n">
        <f aca="false">BUDGET_PLAN!G30</f>
        <v>0</v>
      </c>
      <c r="L30" s="23" t="str">
        <f aca="false">BUDGET_PLAN!H30</f>
        <v>Other</v>
      </c>
      <c r="M30" s="57" t="n">
        <f aca="false">BUDGET_PLAN!I30</f>
        <v>0</v>
      </c>
      <c r="N30" s="57" t="n">
        <f aca="false">BUDGET_PLAN!J30</f>
        <v>1</v>
      </c>
      <c r="O30" s="57" t="n">
        <f aca="false">BUDGET_PLAN!Z30</f>
        <v>0</v>
      </c>
      <c r="P30" s="23" t="str">
        <f aca="false">BUDGET_PLAN!AC30</f>
        <v>Medium</v>
      </c>
      <c r="Q30" s="23" t="str">
        <f aca="false">BUDGET_PLAN!AD30</f>
        <v>School Fees</v>
      </c>
      <c r="R30" s="58" t="n">
        <f aca="false">BUDGET_PLAN!AE30</f>
        <v>0</v>
      </c>
    </row>
    <row r="31" customFormat="false" ht="15" hidden="false" customHeight="false" outlineLevel="0" collapsed="false">
      <c r="A31" s="23" t="str">
        <f aca="false">SETUP!B17</f>
        <v>1.0</v>
      </c>
      <c r="B31" s="23" t="str">
        <f aca="false">SETUP!B6</f>
        <v>Musanze</v>
      </c>
      <c r="C31" s="23" t="str">
        <f aca="false">SETUP!B8</f>
        <v>2027</v>
      </c>
      <c r="D31" s="23" t="str">
        <f aca="false">SETUP!B9</f>
        <v>Annual</v>
      </c>
      <c r="E31" s="23" t="str">
        <f aca="false">BUDGET_PLAN!A31</f>
        <v>BL-026</v>
      </c>
      <c r="F31" s="23" t="str">
        <f aca="false">BUDGET_PLAN!B31</f>
        <v>FINANCE COSTS</v>
      </c>
      <c r="G31" s="23" t="str">
        <f aca="false">BUDGET_PLAN!C31</f>
        <v>Bank Loan Payments</v>
      </c>
      <c r="H31" s="23" t="n">
        <f aca="false">BUDGET_PLAN!D31</f>
        <v>0</v>
      </c>
      <c r="I31" s="23" t="n">
        <f aca="false">BUDGET_PLAN!E31</f>
        <v>0</v>
      </c>
      <c r="J31" s="23" t="str">
        <f aca="false">BUDGET_PLAN!F31</f>
        <v>Monthly</v>
      </c>
      <c r="K31" s="57" t="n">
        <f aca="false">BUDGET_PLAN!G31</f>
        <v>0</v>
      </c>
      <c r="L31" s="23" t="str">
        <f aca="false">BUDGET_PLAN!H31</f>
        <v>Other</v>
      </c>
      <c r="M31" s="57" t="n">
        <f aca="false">BUDGET_PLAN!I31</f>
        <v>0</v>
      </c>
      <c r="N31" s="57" t="n">
        <f aca="false">BUDGET_PLAN!J31</f>
        <v>1</v>
      </c>
      <c r="O31" s="57" t="n">
        <f aca="false">BUDGET_PLAN!Z31</f>
        <v>0</v>
      </c>
      <c r="P31" s="23" t="str">
        <f aca="false">BUDGET_PLAN!AC31</f>
        <v>Medium</v>
      </c>
      <c r="Q31" s="23" t="str">
        <f aca="false">BUDGET_PLAN!AD31</f>
        <v>School Fees</v>
      </c>
      <c r="R31" s="58" t="n">
        <f aca="false">BUDGET_PLAN!AE31</f>
        <v>0</v>
      </c>
    </row>
    <row r="32" customFormat="false" ht="15" hidden="false" customHeight="false" outlineLevel="0" collapsed="false">
      <c r="A32" s="23" t="str">
        <f aca="false">SETUP!B17</f>
        <v>1.0</v>
      </c>
      <c r="B32" s="23" t="str">
        <f aca="false">SETUP!B6</f>
        <v>Musanze</v>
      </c>
      <c r="C32" s="23" t="str">
        <f aca="false">SETUP!B8</f>
        <v>2027</v>
      </c>
      <c r="D32" s="23" t="str">
        <f aca="false">SETUP!B9</f>
        <v>Annual</v>
      </c>
      <c r="E32" s="23" t="str">
        <f aca="false">BUDGET_PLAN!A32</f>
        <v>BL-027</v>
      </c>
      <c r="F32" s="23" t="str">
        <f aca="false">BUDGET_PLAN!B32</f>
        <v>FINANCE COSTS</v>
      </c>
      <c r="G32" s="23" t="str">
        <f aca="false">BUDGET_PLAN!C32</f>
        <v>Bank Charges &amp; Account Maintenance Fees</v>
      </c>
      <c r="H32" s="23" t="n">
        <f aca="false">BUDGET_PLAN!D32</f>
        <v>0</v>
      </c>
      <c r="I32" s="23" t="n">
        <f aca="false">BUDGET_PLAN!E32</f>
        <v>0</v>
      </c>
      <c r="J32" s="23" t="str">
        <f aca="false">BUDGET_PLAN!F32</f>
        <v>Monthly</v>
      </c>
      <c r="K32" s="57" t="n">
        <f aca="false">BUDGET_PLAN!G32</f>
        <v>0</v>
      </c>
      <c r="L32" s="23" t="str">
        <f aca="false">BUDGET_PLAN!H32</f>
        <v>Other</v>
      </c>
      <c r="M32" s="57" t="n">
        <f aca="false">BUDGET_PLAN!I32</f>
        <v>0</v>
      </c>
      <c r="N32" s="57" t="n">
        <f aca="false">BUDGET_PLAN!J32</f>
        <v>1</v>
      </c>
      <c r="O32" s="57" t="n">
        <f aca="false">BUDGET_PLAN!Z32</f>
        <v>0</v>
      </c>
      <c r="P32" s="23" t="str">
        <f aca="false">BUDGET_PLAN!AC32</f>
        <v>Medium</v>
      </c>
      <c r="Q32" s="23" t="str">
        <f aca="false">BUDGET_PLAN!AD32</f>
        <v>School Fees</v>
      </c>
      <c r="R32" s="58" t="n">
        <f aca="false">BUDGET_PLAN!AE32</f>
        <v>0</v>
      </c>
    </row>
  </sheetData>
  <autoFilter ref="A5:R32"/>
  <mergeCells count="2">
    <mergeCell ref="A1:R1"/>
    <mergeCell ref="A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8"/>
    <col collapsed="false" customWidth="true" hidden="false" outlineLevel="0" max="5" min="5" style="0" width="19"/>
    <col collapsed="false" customWidth="true" hidden="false" outlineLevel="0" max="9" min="6" style="0" width="18"/>
    <col collapsed="false" customWidth="true" hidden="false" outlineLevel="0" max="11" min="10" style="0" width="22"/>
    <col collapsed="false" customWidth="true" hidden="false" outlineLevel="0" max="12" min="12" style="0" width="24"/>
    <col collapsed="false" customWidth="true" hidden="false" outlineLevel="0" max="13" min="13" style="0" width="27"/>
  </cols>
  <sheetData>
    <row r="1" customFormat="false" ht="15" hidden="false" customHeight="false" outlineLevel="0" collapsed="false">
      <c r="A1" s="53" t="s">
        <v>276</v>
      </c>
      <c r="B1" s="53" t="s">
        <v>277</v>
      </c>
      <c r="C1" s="53" t="s">
        <v>278</v>
      </c>
      <c r="D1" s="53" t="s">
        <v>279</v>
      </c>
      <c r="E1" s="53" t="s">
        <v>280</v>
      </c>
      <c r="F1" s="53" t="s">
        <v>281</v>
      </c>
      <c r="G1" s="53" t="s">
        <v>282</v>
      </c>
      <c r="H1" s="53" t="s">
        <v>283</v>
      </c>
      <c r="I1" s="53" t="s">
        <v>284</v>
      </c>
      <c r="J1" s="53" t="s">
        <v>285</v>
      </c>
      <c r="K1" s="53" t="s">
        <v>286</v>
      </c>
      <c r="L1" s="53" t="s">
        <v>287</v>
      </c>
      <c r="M1" s="53" t="s">
        <v>72</v>
      </c>
    </row>
    <row r="2" customFormat="false" ht="15" hidden="false" customHeight="false" outlineLevel="0" collapsed="false">
      <c r="A2" s="0" t="s">
        <v>38</v>
      </c>
      <c r="B2" s="0" t="s">
        <v>288</v>
      </c>
      <c r="C2" s="0" t="s">
        <v>47</v>
      </c>
      <c r="D2" s="0" t="s">
        <v>56</v>
      </c>
      <c r="E2" s="0" t="s">
        <v>150</v>
      </c>
      <c r="F2" s="0" t="s">
        <v>289</v>
      </c>
      <c r="G2" s="0" t="s">
        <v>149</v>
      </c>
      <c r="H2" s="0" t="s">
        <v>70</v>
      </c>
      <c r="I2" s="0" t="s">
        <v>290</v>
      </c>
      <c r="J2" s="0" t="s">
        <v>70</v>
      </c>
      <c r="K2" s="0" t="s">
        <v>148</v>
      </c>
      <c r="L2" s="0" t="s">
        <v>291</v>
      </c>
      <c r="M2" s="0" t="s">
        <v>292</v>
      </c>
    </row>
    <row r="3" customFormat="false" ht="15" hidden="false" customHeight="false" outlineLevel="0" collapsed="false">
      <c r="A3" s="0" t="s">
        <v>293</v>
      </c>
      <c r="B3" s="0" t="s">
        <v>44</v>
      </c>
      <c r="C3" s="0" t="s">
        <v>138</v>
      </c>
      <c r="D3" s="0" t="s">
        <v>294</v>
      </c>
      <c r="E3" s="0" t="s">
        <v>295</v>
      </c>
      <c r="F3" s="0" t="s">
        <v>296</v>
      </c>
      <c r="G3" s="0" t="s">
        <v>297</v>
      </c>
      <c r="H3" s="0" t="s">
        <v>298</v>
      </c>
      <c r="I3" s="0" t="s">
        <v>299</v>
      </c>
      <c r="J3" s="0" t="s">
        <v>298</v>
      </c>
      <c r="K3" s="0" t="s">
        <v>162</v>
      </c>
      <c r="L3" s="0" t="s">
        <v>300</v>
      </c>
      <c r="M3" s="0" t="s">
        <v>73</v>
      </c>
    </row>
    <row r="4" customFormat="false" ht="15" hidden="false" customHeight="false" outlineLevel="0" collapsed="false">
      <c r="A4" s="0" t="s">
        <v>301</v>
      </c>
      <c r="B4" s="0" t="s">
        <v>302</v>
      </c>
      <c r="C4" s="0" t="s">
        <v>139</v>
      </c>
      <c r="D4" s="0" t="s">
        <v>303</v>
      </c>
      <c r="E4" s="0" t="s">
        <v>304</v>
      </c>
      <c r="F4" s="0" t="s">
        <v>152</v>
      </c>
      <c r="G4" s="0" t="s">
        <v>189</v>
      </c>
      <c r="H4" s="0" t="s">
        <v>305</v>
      </c>
      <c r="I4" s="0" t="s">
        <v>306</v>
      </c>
      <c r="J4" s="0" t="s">
        <v>307</v>
      </c>
      <c r="K4" s="0" t="s">
        <v>197</v>
      </c>
      <c r="L4" s="0" t="s">
        <v>308</v>
      </c>
    </row>
    <row r="5" customFormat="false" ht="15" hidden="false" customHeight="false" outlineLevel="0" collapsed="false">
      <c r="A5" s="0" t="s">
        <v>309</v>
      </c>
      <c r="B5" s="0" t="s">
        <v>310</v>
      </c>
      <c r="C5" s="0" t="s">
        <v>140</v>
      </c>
      <c r="F5" s="0" t="s">
        <v>311</v>
      </c>
      <c r="G5" s="0" t="s">
        <v>312</v>
      </c>
      <c r="H5" s="0" t="s">
        <v>313</v>
      </c>
      <c r="I5" s="0" t="s">
        <v>314</v>
      </c>
      <c r="J5" s="0" t="s">
        <v>315</v>
      </c>
      <c r="K5" s="0" t="s">
        <v>204</v>
      </c>
      <c r="L5" s="0" t="s">
        <v>316</v>
      </c>
    </row>
    <row r="6" customFormat="false" ht="15" hidden="false" customHeight="false" outlineLevel="0" collapsed="false">
      <c r="A6" s="0" t="s">
        <v>317</v>
      </c>
      <c r="B6" s="0" t="s">
        <v>318</v>
      </c>
      <c r="C6" s="0" t="s">
        <v>150</v>
      </c>
      <c r="G6" s="0" t="s">
        <v>151</v>
      </c>
      <c r="H6" s="0" t="s">
        <v>319</v>
      </c>
      <c r="I6" s="0" t="s">
        <v>320</v>
      </c>
      <c r="J6" s="0" t="s">
        <v>321</v>
      </c>
    </row>
    <row r="7" customFormat="false" ht="15" hidden="false" customHeight="false" outlineLevel="0" collapsed="false">
      <c r="A7" s="0" t="s">
        <v>322</v>
      </c>
      <c r="C7" s="0" t="s">
        <v>323</v>
      </c>
      <c r="H7" s="0" t="s">
        <v>324</v>
      </c>
      <c r="I7" s="0" t="s">
        <v>325</v>
      </c>
      <c r="J7" s="0" t="s">
        <v>326</v>
      </c>
    </row>
    <row r="8" customFormat="false" ht="15" hidden="false" customHeight="false" outlineLevel="0" collapsed="false">
      <c r="A8" s="0" t="s">
        <v>327</v>
      </c>
      <c r="I8" s="0" t="s">
        <v>328</v>
      </c>
      <c r="J8" s="0" t="s">
        <v>329</v>
      </c>
    </row>
    <row r="9" customFormat="false" ht="15" hidden="false" customHeight="false" outlineLevel="0" collapsed="false">
      <c r="A9" s="0" t="s">
        <v>330</v>
      </c>
      <c r="I9" s="0" t="s">
        <v>331</v>
      </c>
      <c r="J9" s="0" t="s">
        <v>332</v>
      </c>
    </row>
    <row r="10" customFormat="false" ht="15" hidden="false" customHeight="false" outlineLevel="0" collapsed="false">
      <c r="A10" s="0" t="s">
        <v>333</v>
      </c>
      <c r="I10" s="0" t="s">
        <v>334</v>
      </c>
      <c r="J10" s="0" t="s">
        <v>335</v>
      </c>
    </row>
    <row r="11" customFormat="false" ht="15" hidden="false" customHeight="false" outlineLevel="0" collapsed="false">
      <c r="A11" s="0" t="s">
        <v>336</v>
      </c>
      <c r="I11" s="0" t="s">
        <v>337</v>
      </c>
      <c r="J11" s="0" t="s">
        <v>305</v>
      </c>
    </row>
    <row r="12" customFormat="false" ht="15" hidden="false" customHeight="false" outlineLevel="0" collapsed="false">
      <c r="A12" s="0" t="s">
        <v>338</v>
      </c>
      <c r="I12" s="0" t="s">
        <v>339</v>
      </c>
      <c r="J12" s="0" t="s">
        <v>319</v>
      </c>
    </row>
    <row r="13" customFormat="false" ht="15" hidden="false" customHeight="false" outlineLevel="0" collapsed="false">
      <c r="A13" s="0" t="s">
        <v>340</v>
      </c>
      <c r="I13" s="0" t="s">
        <v>341</v>
      </c>
      <c r="J13" s="0" t="s">
        <v>342</v>
      </c>
    </row>
    <row r="14" customFormat="false" ht="15" hidden="false" customHeight="false" outlineLevel="0" collapsed="false">
      <c r="A14" s="0" t="s">
        <v>343</v>
      </c>
      <c r="I14" s="0" t="s">
        <v>151</v>
      </c>
    </row>
    <row r="15" customFormat="false" ht="15" hidden="false" customHeight="false" outlineLevel="0" collapsed="false">
      <c r="A15" s="0" t="s">
        <v>344</v>
      </c>
    </row>
    <row r="16" customFormat="false" ht="15" hidden="false" customHeight="false" outlineLevel="0" collapsed="false">
      <c r="A16" s="0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2026-07-31T14:55:50Z</dcterms:created>
  <dc:creator>openpyxl</dc:creator>
  <dc:description/>
  <dc:language>en-US</dc:language>
  <cp:lastModifiedBy/>
  <dcterms:modified xsi:type="dcterms:W3CDTF">2026-07-31T14:55:50Z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